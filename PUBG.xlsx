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pay\Desktop\PUBG LIVE\"/>
    </mc:Choice>
  </mc:AlternateContent>
  <xr:revisionPtr revIDLastSave="0" documentId="13_ncr:1_{33260482-3227-4261-8F63-42889EAC7E57}" xr6:coauthVersionLast="47" xr6:coauthVersionMax="47" xr10:uidLastSave="{00000000-0000-0000-0000-000000000000}"/>
  <bookViews>
    <workbookView xWindow="-120" yWindow="-120" windowWidth="24240" windowHeight="13140" activeTab="7" xr2:uid="{631D45AF-AFBD-43CA-AE4B-6C2E8283389A}"/>
  </bookViews>
  <sheets>
    <sheet name="input player" sheetId="1" r:id="rId1"/>
    <sheet name="map settings" sheetId="3" r:id="rId2"/>
    <sheet name="TEAMLIST" sheetId="2" r:id="rId3"/>
    <sheet name="DAY OVERLAY" sheetId="40" r:id="rId4"/>
    <sheet name="DAY SUMMARY W1D1" sheetId="8" r:id="rId5"/>
    <sheet name="DAY SUMMARY W1D2" sheetId="31" r:id="rId6"/>
    <sheet name="DAY SUMMARY W2D1" sheetId="32" r:id="rId7"/>
    <sheet name="DAY SUMMARY W2D2" sheetId="33" r:id="rId8"/>
    <sheet name="DAY SUMMARY FINAL" sheetId="34" r:id="rId9"/>
    <sheet name="WEEK SUMMARY W1" sheetId="9" r:id="rId10"/>
    <sheet name="WEEK SUMMARY W2" sheetId="36" r:id="rId11"/>
    <sheet name="OVERALL SUMMARY" sheetId="35" r:id="rId12"/>
    <sheet name="W1D1M1" sheetId="4" r:id="rId13"/>
    <sheet name="W1D1M2" sheetId="5" r:id="rId14"/>
    <sheet name="W1D1M3" sheetId="6" r:id="rId15"/>
    <sheet name="W1D2M1" sheetId="15" r:id="rId16"/>
    <sheet name="W1D2M2" sheetId="14" r:id="rId17"/>
    <sheet name="W1D2M3" sheetId="17" r:id="rId18"/>
    <sheet name="W2D1M1" sheetId="19" r:id="rId19"/>
    <sheet name="W2D1M2" sheetId="20" r:id="rId20"/>
    <sheet name="W2D1M3" sheetId="21" r:id="rId21"/>
    <sheet name="W2D2M1" sheetId="23" r:id="rId22"/>
    <sheet name="W2D2M2" sheetId="24" r:id="rId23"/>
    <sheet name="W2D2M3" sheetId="25" r:id="rId24"/>
    <sheet name="FinalM1" sheetId="27" r:id="rId25"/>
    <sheet name="FinalM2" sheetId="28" r:id="rId26"/>
    <sheet name="FinalM3" sheetId="29" r:id="rId27"/>
  </sheets>
  <externalReferences>
    <externalReference r:id="rId2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" i="1"/>
  <c r="A1" i="40" a="1"/>
  <c r="A1" i="40" s="1"/>
  <c r="F2" i="32"/>
  <c r="E17" i="29"/>
  <c r="E16" i="29"/>
  <c r="E15" i="29"/>
  <c r="E14" i="29"/>
  <c r="E13" i="29"/>
  <c r="E12" i="29"/>
  <c r="E11" i="29"/>
  <c r="E10" i="29"/>
  <c r="E9" i="29"/>
  <c r="E8" i="29"/>
  <c r="E7" i="29"/>
  <c r="F7" i="29" s="1"/>
  <c r="E6" i="29"/>
  <c r="E5" i="29"/>
  <c r="E4" i="29"/>
  <c r="E3" i="29"/>
  <c r="E2" i="29"/>
  <c r="E17" i="28"/>
  <c r="E16" i="28"/>
  <c r="E15" i="28"/>
  <c r="E14" i="28"/>
  <c r="E13" i="28"/>
  <c r="E12" i="28"/>
  <c r="E11" i="28"/>
  <c r="E10" i="28"/>
  <c r="E9" i="28"/>
  <c r="E8" i="28"/>
  <c r="E7" i="28"/>
  <c r="F7" i="28" s="1"/>
  <c r="E6" i="28"/>
  <c r="E5" i="28"/>
  <c r="E4" i="28"/>
  <c r="E3" i="28"/>
  <c r="E2" i="28"/>
  <c r="E17" i="27"/>
  <c r="E16" i="27"/>
  <c r="E15" i="27"/>
  <c r="E14" i="27"/>
  <c r="E13" i="27"/>
  <c r="E12" i="27"/>
  <c r="E11" i="27"/>
  <c r="E10" i="27"/>
  <c r="E9" i="27"/>
  <c r="E8" i="27"/>
  <c r="E7" i="27"/>
  <c r="F7" i="27" s="1"/>
  <c r="E6" i="27"/>
  <c r="E5" i="27"/>
  <c r="E4" i="27"/>
  <c r="E3" i="27"/>
  <c r="E2" i="27"/>
  <c r="E17" i="25"/>
  <c r="E16" i="25"/>
  <c r="E15" i="25"/>
  <c r="E14" i="25"/>
  <c r="E13" i="25"/>
  <c r="E12" i="25"/>
  <c r="E11" i="25"/>
  <c r="E10" i="25"/>
  <c r="E9" i="25"/>
  <c r="E8" i="25"/>
  <c r="E7" i="25"/>
  <c r="F7" i="25" s="1"/>
  <c r="E6" i="25"/>
  <c r="E5" i="25"/>
  <c r="E4" i="25"/>
  <c r="E3" i="25"/>
  <c r="E2" i="25"/>
  <c r="E17" i="24"/>
  <c r="E16" i="24"/>
  <c r="E15" i="24"/>
  <c r="E14" i="24"/>
  <c r="E13" i="24"/>
  <c r="F13" i="24" s="1"/>
  <c r="E12" i="24"/>
  <c r="E11" i="24"/>
  <c r="E10" i="24"/>
  <c r="E9" i="24"/>
  <c r="E8" i="24"/>
  <c r="E7" i="24"/>
  <c r="F7" i="24" s="1"/>
  <c r="E6" i="24"/>
  <c r="E5" i="24"/>
  <c r="E4" i="24"/>
  <c r="E3" i="24"/>
  <c r="E2" i="24"/>
  <c r="E17" i="23"/>
  <c r="E16" i="23"/>
  <c r="E15" i="23"/>
  <c r="E14" i="23"/>
  <c r="E13" i="23"/>
  <c r="E12" i="23"/>
  <c r="E11" i="23"/>
  <c r="E10" i="23"/>
  <c r="E9" i="23"/>
  <c r="E8" i="23"/>
  <c r="E7" i="23"/>
  <c r="F7" i="23" s="1"/>
  <c r="E6" i="23"/>
  <c r="E5" i="23"/>
  <c r="E4" i="23"/>
  <c r="E3" i="23"/>
  <c r="E2" i="23"/>
  <c r="E17" i="21"/>
  <c r="E16" i="21"/>
  <c r="E15" i="21"/>
  <c r="E14" i="21"/>
  <c r="E13" i="21"/>
  <c r="E12" i="21"/>
  <c r="E11" i="21"/>
  <c r="E10" i="21"/>
  <c r="E9" i="21"/>
  <c r="E8" i="21"/>
  <c r="F8" i="21" s="1"/>
  <c r="E7" i="21"/>
  <c r="F7" i="21" s="1"/>
  <c r="E6" i="21"/>
  <c r="E5" i="21"/>
  <c r="E4" i="21"/>
  <c r="E3" i="21"/>
  <c r="E2" i="21"/>
  <c r="E17" i="20"/>
  <c r="E16" i="20"/>
  <c r="E15" i="20"/>
  <c r="E14" i="20"/>
  <c r="E13" i="20"/>
  <c r="E12" i="20"/>
  <c r="E11" i="20"/>
  <c r="E10" i="20"/>
  <c r="E9" i="20"/>
  <c r="E8" i="20"/>
  <c r="E7" i="20"/>
  <c r="E6" i="20"/>
  <c r="F6" i="20" s="1"/>
  <c r="E5" i="20"/>
  <c r="E4" i="20"/>
  <c r="E3" i="20"/>
  <c r="E2" i="20"/>
  <c r="E3" i="19"/>
  <c r="E4" i="19"/>
  <c r="E5" i="19"/>
  <c r="E6" i="19"/>
  <c r="E7" i="19"/>
  <c r="E8" i="19"/>
  <c r="E9" i="19"/>
  <c r="E10" i="19"/>
  <c r="E11" i="19"/>
  <c r="E12" i="19"/>
  <c r="E13" i="19"/>
  <c r="F13" i="19" s="1"/>
  <c r="E14" i="19"/>
  <c r="F14" i="19" s="1"/>
  <c r="E15" i="19"/>
  <c r="E16" i="19"/>
  <c r="E17" i="19"/>
  <c r="E2" i="19"/>
  <c r="E3" i="17"/>
  <c r="E4" i="17"/>
  <c r="E5" i="17"/>
  <c r="E6" i="17"/>
  <c r="E7" i="17"/>
  <c r="E8" i="17"/>
  <c r="E9" i="17"/>
  <c r="E10" i="17"/>
  <c r="E11" i="17"/>
  <c r="E12" i="17"/>
  <c r="E13" i="17"/>
  <c r="F13" i="17" s="1"/>
  <c r="E14" i="17"/>
  <c r="E15" i="17"/>
  <c r="E16" i="17"/>
  <c r="E17" i="17"/>
  <c r="E2" i="17"/>
  <c r="E3" i="14"/>
  <c r="E4" i="14"/>
  <c r="E5" i="14"/>
  <c r="E6" i="14"/>
  <c r="E7" i="14"/>
  <c r="E8" i="14"/>
  <c r="E9" i="14"/>
  <c r="E10" i="14"/>
  <c r="E11" i="14"/>
  <c r="E12" i="14"/>
  <c r="E13" i="14"/>
  <c r="F13" i="14" s="1"/>
  <c r="E14" i="14"/>
  <c r="E15" i="14"/>
  <c r="E16" i="14"/>
  <c r="E17" i="14"/>
  <c r="E2" i="14"/>
  <c r="E3" i="15"/>
  <c r="E4" i="15"/>
  <c r="E5" i="15"/>
  <c r="E6" i="15"/>
  <c r="E7" i="15"/>
  <c r="E8" i="15"/>
  <c r="E9" i="15"/>
  <c r="E10" i="15"/>
  <c r="E11" i="15"/>
  <c r="F11" i="15" s="1"/>
  <c r="E12" i="15"/>
  <c r="F12" i="15" s="1"/>
  <c r="E13" i="15"/>
  <c r="F13" i="15" s="1"/>
  <c r="E14" i="15"/>
  <c r="E15" i="15"/>
  <c r="E16" i="15"/>
  <c r="E17" i="15"/>
  <c r="E2" i="15"/>
  <c r="E3" i="6"/>
  <c r="E4" i="6"/>
  <c r="E5" i="6"/>
  <c r="E6" i="6"/>
  <c r="E7" i="6"/>
  <c r="E8" i="6"/>
  <c r="E9" i="6"/>
  <c r="E10" i="6"/>
  <c r="E11" i="6"/>
  <c r="E12" i="6"/>
  <c r="E13" i="6"/>
  <c r="F13" i="6" s="1"/>
  <c r="E14" i="6"/>
  <c r="E15" i="6"/>
  <c r="E16" i="6"/>
  <c r="E17" i="6"/>
  <c r="E2" i="6"/>
  <c r="E3" i="5"/>
  <c r="E4" i="5"/>
  <c r="E5" i="5"/>
  <c r="E6" i="5"/>
  <c r="F6" i="5" s="1"/>
  <c r="E7" i="5"/>
  <c r="E8" i="5"/>
  <c r="E9" i="5"/>
  <c r="E10" i="5"/>
  <c r="E11" i="5"/>
  <c r="E12" i="5"/>
  <c r="E13" i="5"/>
  <c r="F13" i="5" s="1"/>
  <c r="E14" i="5"/>
  <c r="E15" i="5"/>
  <c r="E16" i="5"/>
  <c r="E17" i="5"/>
  <c r="E2" i="5"/>
  <c r="E3" i="4"/>
  <c r="F3" i="4" s="1"/>
  <c r="E4" i="4"/>
  <c r="F4" i="4" s="1"/>
  <c r="E5" i="4"/>
  <c r="F5" i="4" s="1"/>
  <c r="E6" i="4"/>
  <c r="E7" i="4"/>
  <c r="E8" i="4"/>
  <c r="E9" i="4"/>
  <c r="E10" i="4"/>
  <c r="F10" i="4" s="1"/>
  <c r="E11" i="4"/>
  <c r="E12" i="4"/>
  <c r="F12" i="4" s="1"/>
  <c r="E13" i="4"/>
  <c r="F13" i="4" s="1"/>
  <c r="E14" i="4"/>
  <c r="E15" i="4"/>
  <c r="E16" i="4"/>
  <c r="E17" i="4"/>
  <c r="E2" i="4"/>
  <c r="F2" i="4" s="1"/>
  <c r="F8" i="4"/>
  <c r="F7" i="4"/>
  <c r="F9" i="4"/>
  <c r="F17" i="29"/>
  <c r="B17" i="29" a="1"/>
  <c r="B17" i="29" s="1"/>
  <c r="A17" i="29" a="1"/>
  <c r="A17" i="29" s="1"/>
  <c r="F16" i="29"/>
  <c r="B16" i="29" a="1"/>
  <c r="B16" i="29" s="1"/>
  <c r="A16" i="29" a="1"/>
  <c r="A16" i="29" s="1"/>
  <c r="F15" i="29"/>
  <c r="B15" i="29" a="1"/>
  <c r="B15" i="29" s="1"/>
  <c r="A15" i="29" a="1"/>
  <c r="A15" i="29" s="1"/>
  <c r="F14" i="29"/>
  <c r="B14" i="29" a="1"/>
  <c r="B14" i="29" s="1"/>
  <c r="A14" i="29" a="1"/>
  <c r="A14" i="29" s="1"/>
  <c r="F13" i="29"/>
  <c r="B13" i="29" a="1"/>
  <c r="B13" i="29" s="1"/>
  <c r="A13" i="29" a="1"/>
  <c r="A13" i="29" s="1"/>
  <c r="F12" i="29"/>
  <c r="B12" i="29" a="1"/>
  <c r="B12" i="29" s="1"/>
  <c r="A12" i="29" a="1"/>
  <c r="A12" i="29" s="1"/>
  <c r="F11" i="29"/>
  <c r="B11" i="29" a="1"/>
  <c r="B11" i="29" s="1"/>
  <c r="A11" i="29" a="1"/>
  <c r="A11" i="29" s="1"/>
  <c r="F10" i="29"/>
  <c r="B10" i="29" a="1"/>
  <c r="B10" i="29" s="1"/>
  <c r="A10" i="29" a="1"/>
  <c r="A10" i="29" s="1"/>
  <c r="F9" i="29"/>
  <c r="B9" i="29" a="1"/>
  <c r="B9" i="29" s="1"/>
  <c r="A9" i="29" a="1"/>
  <c r="A9" i="29" s="1"/>
  <c r="F8" i="29"/>
  <c r="B8" i="29" a="1"/>
  <c r="B8" i="29" s="1"/>
  <c r="A8" i="29" a="1"/>
  <c r="A8" i="29" s="1"/>
  <c r="B7" i="29" a="1"/>
  <c r="B7" i="29" s="1"/>
  <c r="A7" i="29" a="1"/>
  <c r="A7" i="29" s="1"/>
  <c r="F6" i="29"/>
  <c r="B6" i="29" a="1"/>
  <c r="B6" i="29" s="1"/>
  <c r="A6" i="29" a="1"/>
  <c r="A6" i="29" s="1"/>
  <c r="F5" i="29"/>
  <c r="B5" i="29" a="1"/>
  <c r="B5" i="29" s="1"/>
  <c r="A5" i="29" a="1"/>
  <c r="A5" i="29" s="1"/>
  <c r="F4" i="29"/>
  <c r="B4" i="29" a="1"/>
  <c r="B4" i="29" s="1"/>
  <c r="A4" i="29" a="1"/>
  <c r="A4" i="29" s="1"/>
  <c r="F3" i="29"/>
  <c r="B3" i="29" a="1"/>
  <c r="B3" i="29" s="1"/>
  <c r="A3" i="29" a="1"/>
  <c r="A3" i="29" s="1"/>
  <c r="F2" i="29"/>
  <c r="B2" i="29" a="1"/>
  <c r="B2" i="29" s="1"/>
  <c r="A2" i="29" a="1"/>
  <c r="A2" i="29" s="1"/>
  <c r="F17" i="28"/>
  <c r="B17" i="28" a="1"/>
  <c r="B17" i="28" s="1"/>
  <c r="A17" i="28" a="1"/>
  <c r="A17" i="28" s="1"/>
  <c r="F16" i="28"/>
  <c r="B16" i="28" a="1"/>
  <c r="B16" i="28" s="1"/>
  <c r="A16" i="28" a="1"/>
  <c r="A16" i="28" s="1"/>
  <c r="F15" i="28"/>
  <c r="B15" i="28" a="1"/>
  <c r="B15" i="28" s="1"/>
  <c r="A15" i="28" a="1"/>
  <c r="A15" i="28" s="1"/>
  <c r="F14" i="28"/>
  <c r="B14" i="28" a="1"/>
  <c r="B14" i="28" s="1"/>
  <c r="A14" i="28" a="1"/>
  <c r="A14" i="28" s="1"/>
  <c r="F13" i="28"/>
  <c r="B13" i="28" a="1"/>
  <c r="B13" i="28" s="1"/>
  <c r="A13" i="28" a="1"/>
  <c r="A13" i="28" s="1"/>
  <c r="F12" i="28"/>
  <c r="B12" i="28" a="1"/>
  <c r="B12" i="28" s="1"/>
  <c r="A12" i="28" a="1"/>
  <c r="A12" i="28" s="1"/>
  <c r="F11" i="28"/>
  <c r="B11" i="28" a="1"/>
  <c r="B11" i="28" s="1"/>
  <c r="A11" i="28" a="1"/>
  <c r="A11" i="28" s="1"/>
  <c r="F10" i="28"/>
  <c r="B10" i="28" a="1"/>
  <c r="B10" i="28" s="1"/>
  <c r="A10" i="28" a="1"/>
  <c r="A10" i="28" s="1"/>
  <c r="F9" i="28"/>
  <c r="B9" i="28" a="1"/>
  <c r="B9" i="28" s="1"/>
  <c r="A9" i="28" a="1"/>
  <c r="A9" i="28" s="1"/>
  <c r="F8" i="28"/>
  <c r="B8" i="28" a="1"/>
  <c r="B8" i="28" s="1"/>
  <c r="A8" i="28" a="1"/>
  <c r="A8" i="28" s="1"/>
  <c r="B7" i="28" a="1"/>
  <c r="B7" i="28" s="1"/>
  <c r="A7" i="28" a="1"/>
  <c r="A7" i="28" s="1"/>
  <c r="F6" i="28"/>
  <c r="B6" i="28" a="1"/>
  <c r="B6" i="28" s="1"/>
  <c r="A6" i="28" a="1"/>
  <c r="A6" i="28" s="1"/>
  <c r="F5" i="28"/>
  <c r="B5" i="28" a="1"/>
  <c r="B5" i="28" s="1"/>
  <c r="A5" i="28" a="1"/>
  <c r="A5" i="28" s="1"/>
  <c r="F4" i="28"/>
  <c r="B4" i="28" a="1"/>
  <c r="B4" i="28" s="1"/>
  <c r="A4" i="28" a="1"/>
  <c r="A4" i="28" s="1"/>
  <c r="F3" i="28"/>
  <c r="B3" i="28" a="1"/>
  <c r="B3" i="28" s="1"/>
  <c r="A3" i="28" a="1"/>
  <c r="A3" i="28" s="1"/>
  <c r="F2" i="28"/>
  <c r="B2" i="28" a="1"/>
  <c r="B2" i="28" s="1"/>
  <c r="A2" i="28" a="1"/>
  <c r="A2" i="28" s="1"/>
  <c r="F17" i="27"/>
  <c r="B17" i="27" a="1"/>
  <c r="B17" i="27" s="1"/>
  <c r="A17" i="27" a="1"/>
  <c r="A17" i="27" s="1"/>
  <c r="F16" i="27"/>
  <c r="B16" i="27" a="1"/>
  <c r="B16" i="27" s="1"/>
  <c r="A16" i="27" a="1"/>
  <c r="A16" i="27" s="1"/>
  <c r="F15" i="27"/>
  <c r="B15" i="27" a="1"/>
  <c r="B15" i="27" s="1"/>
  <c r="A15" i="27" a="1"/>
  <c r="A15" i="27" s="1"/>
  <c r="F14" i="27"/>
  <c r="B14" i="27" a="1"/>
  <c r="B14" i="27" s="1"/>
  <c r="A14" i="27" a="1"/>
  <c r="A14" i="27" s="1"/>
  <c r="F13" i="27"/>
  <c r="B13" i="27"/>
  <c r="B13" i="27" a="1"/>
  <c r="A13" i="27" a="1"/>
  <c r="A13" i="27" s="1"/>
  <c r="F12" i="27"/>
  <c r="B12" i="27" a="1"/>
  <c r="B12" i="27" s="1"/>
  <c r="A12" i="27" a="1"/>
  <c r="A12" i="27" s="1"/>
  <c r="F11" i="27"/>
  <c r="B11" i="27" a="1"/>
  <c r="B11" i="27" s="1"/>
  <c r="A11" i="27" a="1"/>
  <c r="A11" i="27" s="1"/>
  <c r="F10" i="27"/>
  <c r="B10" i="27" a="1"/>
  <c r="B10" i="27" s="1"/>
  <c r="A10" i="27" a="1"/>
  <c r="A10" i="27" s="1"/>
  <c r="F9" i="27"/>
  <c r="B9" i="27" a="1"/>
  <c r="B9" i="27" s="1"/>
  <c r="A9" i="27" a="1"/>
  <c r="A9" i="27" s="1"/>
  <c r="F8" i="27"/>
  <c r="B8" i="27" a="1"/>
  <c r="B8" i="27" s="1"/>
  <c r="A8" i="27" a="1"/>
  <c r="A8" i="27" s="1"/>
  <c r="B7" i="27" a="1"/>
  <c r="B7" i="27" s="1"/>
  <c r="A7" i="27" a="1"/>
  <c r="A7" i="27" s="1"/>
  <c r="F6" i="27"/>
  <c r="B6" i="27" a="1"/>
  <c r="B6" i="27" s="1"/>
  <c r="A6" i="27" a="1"/>
  <c r="A6" i="27" s="1"/>
  <c r="F5" i="27"/>
  <c r="B5" i="27" a="1"/>
  <c r="B5" i="27" s="1"/>
  <c r="A5" i="27" a="1"/>
  <c r="A5" i="27" s="1"/>
  <c r="F4" i="27"/>
  <c r="B4" i="27" a="1"/>
  <c r="B4" i="27" s="1"/>
  <c r="A4" i="27" a="1"/>
  <c r="A4" i="27" s="1"/>
  <c r="F3" i="27"/>
  <c r="B3" i="27" a="1"/>
  <c r="B3" i="27" s="1"/>
  <c r="A3" i="27" a="1"/>
  <c r="A3" i="27" s="1"/>
  <c r="F2" i="27"/>
  <c r="B2" i="27" a="1"/>
  <c r="B2" i="27" s="1"/>
  <c r="A2" i="27" a="1"/>
  <c r="A2" i="27" s="1"/>
  <c r="F17" i="25"/>
  <c r="B17" i="25" a="1"/>
  <c r="B17" i="25" s="1"/>
  <c r="A17" i="25" a="1"/>
  <c r="A17" i="25" s="1"/>
  <c r="F16" i="25"/>
  <c r="B16" i="25" a="1"/>
  <c r="B16" i="25" s="1"/>
  <c r="A16" i="25" a="1"/>
  <c r="A16" i="25" s="1"/>
  <c r="F15" i="25"/>
  <c r="B15" i="25" a="1"/>
  <c r="B15" i="25" s="1"/>
  <c r="A15" i="25" a="1"/>
  <c r="A15" i="25" s="1"/>
  <c r="F14" i="25"/>
  <c r="B14" i="25" a="1"/>
  <c r="B14" i="25" s="1"/>
  <c r="A14" i="25" a="1"/>
  <c r="A14" i="25" s="1"/>
  <c r="F13" i="25"/>
  <c r="B13" i="25" a="1"/>
  <c r="B13" i="25" s="1"/>
  <c r="A13" i="25" a="1"/>
  <c r="A13" i="25" s="1"/>
  <c r="F12" i="25"/>
  <c r="B12" i="25" a="1"/>
  <c r="B12" i="25" s="1"/>
  <c r="A12" i="25" a="1"/>
  <c r="A12" i="25" s="1"/>
  <c r="F11" i="25"/>
  <c r="B11" i="25" a="1"/>
  <c r="B11" i="25" s="1"/>
  <c r="A11" i="25" a="1"/>
  <c r="A11" i="25" s="1"/>
  <c r="F10" i="25"/>
  <c r="B10" i="25" a="1"/>
  <c r="B10" i="25" s="1"/>
  <c r="A10" i="25" a="1"/>
  <c r="A10" i="25" s="1"/>
  <c r="F9" i="25"/>
  <c r="B9" i="25" a="1"/>
  <c r="B9" i="25" s="1"/>
  <c r="A9" i="25" a="1"/>
  <c r="A9" i="25" s="1"/>
  <c r="F8" i="25"/>
  <c r="B8" i="25" a="1"/>
  <c r="B8" i="25" s="1"/>
  <c r="A8" i="25" a="1"/>
  <c r="A8" i="25" s="1"/>
  <c r="B7" i="25" a="1"/>
  <c r="B7" i="25" s="1"/>
  <c r="A7" i="25" a="1"/>
  <c r="A7" i="25" s="1"/>
  <c r="F6" i="25"/>
  <c r="B6" i="25" a="1"/>
  <c r="B6" i="25" s="1"/>
  <c r="A6" i="25" a="1"/>
  <c r="A6" i="25" s="1"/>
  <c r="F5" i="25"/>
  <c r="B5" i="25" a="1"/>
  <c r="B5" i="25" s="1"/>
  <c r="A5" i="25" a="1"/>
  <c r="A5" i="25" s="1"/>
  <c r="F4" i="25"/>
  <c r="B4" i="25" a="1"/>
  <c r="B4" i="25" s="1"/>
  <c r="A4" i="25" a="1"/>
  <c r="A4" i="25" s="1"/>
  <c r="F3" i="25"/>
  <c r="B3" i="25" a="1"/>
  <c r="B3" i="25" s="1"/>
  <c r="A3" i="25" a="1"/>
  <c r="A3" i="25" s="1"/>
  <c r="F2" i="25"/>
  <c r="B2" i="25" a="1"/>
  <c r="B2" i="25" s="1"/>
  <c r="A2" i="25" a="1"/>
  <c r="A2" i="25" s="1"/>
  <c r="F17" i="24"/>
  <c r="B17" i="24" a="1"/>
  <c r="B17" i="24" s="1"/>
  <c r="A17" i="24" a="1"/>
  <c r="A17" i="24" s="1"/>
  <c r="F16" i="24"/>
  <c r="B16" i="24" a="1"/>
  <c r="B16" i="24" s="1"/>
  <c r="A16" i="24" a="1"/>
  <c r="A16" i="24" s="1"/>
  <c r="F15" i="24"/>
  <c r="B15" i="24" a="1"/>
  <c r="B15" i="24" s="1"/>
  <c r="A15" i="24" a="1"/>
  <c r="A15" i="24" s="1"/>
  <c r="F14" i="24"/>
  <c r="B14" i="24" a="1"/>
  <c r="B14" i="24" s="1"/>
  <c r="A14" i="24" a="1"/>
  <c r="A14" i="24" s="1"/>
  <c r="B13" i="24" a="1"/>
  <c r="B13" i="24" s="1"/>
  <c r="A13" i="24" a="1"/>
  <c r="A13" i="24" s="1"/>
  <c r="F12" i="24"/>
  <c r="B12" i="24" a="1"/>
  <c r="B12" i="24" s="1"/>
  <c r="A12" i="24" a="1"/>
  <c r="A12" i="24" s="1"/>
  <c r="F11" i="24"/>
  <c r="B11" i="24" a="1"/>
  <c r="B11" i="24" s="1"/>
  <c r="A11" i="24" a="1"/>
  <c r="A11" i="24" s="1"/>
  <c r="F10" i="24"/>
  <c r="B10" i="24" a="1"/>
  <c r="B10" i="24" s="1"/>
  <c r="A10" i="24" a="1"/>
  <c r="A10" i="24" s="1"/>
  <c r="F9" i="24"/>
  <c r="B9" i="24" a="1"/>
  <c r="B9" i="24" s="1"/>
  <c r="A9" i="24" a="1"/>
  <c r="A9" i="24" s="1"/>
  <c r="F8" i="24"/>
  <c r="B8" i="24" a="1"/>
  <c r="B8" i="24" s="1"/>
  <c r="A8" i="24" a="1"/>
  <c r="A8" i="24" s="1"/>
  <c r="B7" i="24" a="1"/>
  <c r="B7" i="24" s="1"/>
  <c r="A7" i="24" a="1"/>
  <c r="A7" i="24" s="1"/>
  <c r="F6" i="24"/>
  <c r="B6" i="24" a="1"/>
  <c r="B6" i="24" s="1"/>
  <c r="A6" i="24" a="1"/>
  <c r="A6" i="24" s="1"/>
  <c r="F5" i="24"/>
  <c r="B5" i="24" a="1"/>
  <c r="B5" i="24" s="1"/>
  <c r="A5" i="24" a="1"/>
  <c r="A5" i="24" s="1"/>
  <c r="F4" i="24"/>
  <c r="B4" i="24" a="1"/>
  <c r="B4" i="24" s="1"/>
  <c r="A4" i="24" a="1"/>
  <c r="A4" i="24" s="1"/>
  <c r="F3" i="24"/>
  <c r="B3" i="24" a="1"/>
  <c r="B3" i="24" s="1"/>
  <c r="A3" i="24" a="1"/>
  <c r="A3" i="24" s="1"/>
  <c r="F2" i="24"/>
  <c r="B2" i="24" a="1"/>
  <c r="B2" i="24" s="1"/>
  <c r="A2" i="24" a="1"/>
  <c r="A2" i="24" s="1"/>
  <c r="F17" i="23"/>
  <c r="B17" i="23" a="1"/>
  <c r="B17" i="23" s="1"/>
  <c r="A17" i="23" a="1"/>
  <c r="A17" i="23" s="1"/>
  <c r="F16" i="23"/>
  <c r="B16" i="23" a="1"/>
  <c r="B16" i="23" s="1"/>
  <c r="A16" i="23" a="1"/>
  <c r="A16" i="23" s="1"/>
  <c r="F15" i="23"/>
  <c r="B15" i="23" a="1"/>
  <c r="B15" i="23" s="1"/>
  <c r="A15" i="23" a="1"/>
  <c r="A15" i="23" s="1"/>
  <c r="F14" i="23"/>
  <c r="B14" i="23" a="1"/>
  <c r="B14" i="23" s="1"/>
  <c r="A14" i="23" a="1"/>
  <c r="A14" i="23" s="1"/>
  <c r="F13" i="23"/>
  <c r="B13" i="23" a="1"/>
  <c r="B13" i="23" s="1"/>
  <c r="A13" i="23" a="1"/>
  <c r="A13" i="23" s="1"/>
  <c r="F12" i="23"/>
  <c r="B12" i="23" a="1"/>
  <c r="B12" i="23" s="1"/>
  <c r="A12" i="23" a="1"/>
  <c r="A12" i="23" s="1"/>
  <c r="F11" i="23"/>
  <c r="B11" i="23" a="1"/>
  <c r="B11" i="23" s="1"/>
  <c r="A11" i="23" a="1"/>
  <c r="A11" i="23" s="1"/>
  <c r="F10" i="23"/>
  <c r="B10" i="23" a="1"/>
  <c r="B10" i="23" s="1"/>
  <c r="A10" i="23" a="1"/>
  <c r="A10" i="23" s="1"/>
  <c r="F9" i="23"/>
  <c r="B9" i="23" a="1"/>
  <c r="B9" i="23" s="1"/>
  <c r="A9" i="23" a="1"/>
  <c r="A9" i="23" s="1"/>
  <c r="F8" i="23"/>
  <c r="B8" i="23" a="1"/>
  <c r="B8" i="23" s="1"/>
  <c r="A8" i="23" a="1"/>
  <c r="A8" i="23" s="1"/>
  <c r="B7" i="23" a="1"/>
  <c r="B7" i="23" s="1"/>
  <c r="A7" i="23" a="1"/>
  <c r="A7" i="23" s="1"/>
  <c r="F6" i="23"/>
  <c r="B6" i="23" a="1"/>
  <c r="B6" i="23" s="1"/>
  <c r="A6" i="23" a="1"/>
  <c r="A6" i="23" s="1"/>
  <c r="F5" i="23"/>
  <c r="B5" i="23" a="1"/>
  <c r="B5" i="23" s="1"/>
  <c r="A5" i="23" a="1"/>
  <c r="A5" i="23" s="1"/>
  <c r="F4" i="23"/>
  <c r="B4" i="23" a="1"/>
  <c r="B4" i="23" s="1"/>
  <c r="A4" i="23" a="1"/>
  <c r="A4" i="23" s="1"/>
  <c r="F3" i="23"/>
  <c r="B3" i="23" a="1"/>
  <c r="B3" i="23" s="1"/>
  <c r="A3" i="23" a="1"/>
  <c r="A3" i="23" s="1"/>
  <c r="F2" i="23"/>
  <c r="B2" i="23" a="1"/>
  <c r="B2" i="23" s="1"/>
  <c r="A2" i="23" a="1"/>
  <c r="A2" i="23" s="1"/>
  <c r="F17" i="21"/>
  <c r="B17" i="21" a="1"/>
  <c r="B17" i="21" s="1"/>
  <c r="A17" i="21" a="1"/>
  <c r="A17" i="21" s="1"/>
  <c r="F16" i="21"/>
  <c r="B16" i="21" a="1"/>
  <c r="B16" i="21" s="1"/>
  <c r="A16" i="21" a="1"/>
  <c r="A16" i="21" s="1"/>
  <c r="F15" i="21"/>
  <c r="B15" i="21" a="1"/>
  <c r="B15" i="21" s="1"/>
  <c r="A15" i="21" a="1"/>
  <c r="A15" i="21" s="1"/>
  <c r="F14" i="21"/>
  <c r="B14" i="21" a="1"/>
  <c r="B14" i="21" s="1"/>
  <c r="A14" i="21" a="1"/>
  <c r="A14" i="21" s="1"/>
  <c r="F13" i="21"/>
  <c r="B13" i="21" a="1"/>
  <c r="B13" i="21" s="1"/>
  <c r="A13" i="21" a="1"/>
  <c r="A13" i="21" s="1"/>
  <c r="F12" i="21"/>
  <c r="B12" i="21" a="1"/>
  <c r="B12" i="21" s="1"/>
  <c r="A12" i="21" a="1"/>
  <c r="A12" i="21" s="1"/>
  <c r="F11" i="21"/>
  <c r="B11" i="21" a="1"/>
  <c r="B11" i="21" s="1"/>
  <c r="A11" i="21" a="1"/>
  <c r="A11" i="21" s="1"/>
  <c r="F10" i="21"/>
  <c r="B10" i="21" a="1"/>
  <c r="B10" i="21" s="1"/>
  <c r="A10" i="21" a="1"/>
  <c r="A10" i="21" s="1"/>
  <c r="F9" i="21"/>
  <c r="B9" i="21" a="1"/>
  <c r="B9" i="21" s="1"/>
  <c r="A9" i="21" a="1"/>
  <c r="A9" i="21" s="1"/>
  <c r="B8" i="21" a="1"/>
  <c r="B8" i="21" s="1"/>
  <c r="A8" i="21" a="1"/>
  <c r="A8" i="21" s="1"/>
  <c r="B7" i="21" a="1"/>
  <c r="B7" i="21" s="1"/>
  <c r="A7" i="21" a="1"/>
  <c r="A7" i="21" s="1"/>
  <c r="F6" i="21"/>
  <c r="B6" i="21" a="1"/>
  <c r="B6" i="21" s="1"/>
  <c r="A6" i="21" a="1"/>
  <c r="A6" i="21" s="1"/>
  <c r="F5" i="21"/>
  <c r="B5" i="21" a="1"/>
  <c r="B5" i="21" s="1"/>
  <c r="A5" i="21" a="1"/>
  <c r="A5" i="21" s="1"/>
  <c r="F4" i="21"/>
  <c r="B4" i="21" a="1"/>
  <c r="B4" i="21" s="1"/>
  <c r="A4" i="21" a="1"/>
  <c r="A4" i="21" s="1"/>
  <c r="F3" i="21"/>
  <c r="B3" i="21" a="1"/>
  <c r="B3" i="21" s="1"/>
  <c r="A3" i="21" a="1"/>
  <c r="A3" i="21" s="1"/>
  <c r="F2" i="21"/>
  <c r="B2" i="21" a="1"/>
  <c r="B2" i="21" s="1"/>
  <c r="A2" i="21" a="1"/>
  <c r="A2" i="21" s="1"/>
  <c r="F17" i="20"/>
  <c r="B17" i="20" a="1"/>
  <c r="B17" i="20" s="1"/>
  <c r="A17" i="20" a="1"/>
  <c r="A17" i="20" s="1"/>
  <c r="F16" i="20"/>
  <c r="B16" i="20" a="1"/>
  <c r="B16" i="20" s="1"/>
  <c r="A16" i="20" a="1"/>
  <c r="A16" i="20" s="1"/>
  <c r="F15" i="20"/>
  <c r="B15" i="20" a="1"/>
  <c r="B15" i="20" s="1"/>
  <c r="A15" i="20" a="1"/>
  <c r="A15" i="20" s="1"/>
  <c r="F14" i="20"/>
  <c r="B14" i="20" a="1"/>
  <c r="B14" i="20" s="1"/>
  <c r="A14" i="20" a="1"/>
  <c r="A14" i="20" s="1"/>
  <c r="F13" i="20"/>
  <c r="B13" i="20" a="1"/>
  <c r="B13" i="20" s="1"/>
  <c r="A13" i="20" a="1"/>
  <c r="A13" i="20" s="1"/>
  <c r="F12" i="20"/>
  <c r="B12" i="20" a="1"/>
  <c r="B12" i="20" s="1"/>
  <c r="A12" i="20" a="1"/>
  <c r="A12" i="20" s="1"/>
  <c r="F11" i="20"/>
  <c r="B11" i="20" a="1"/>
  <c r="B11" i="20" s="1"/>
  <c r="A11" i="20" a="1"/>
  <c r="A11" i="20" s="1"/>
  <c r="F10" i="20"/>
  <c r="B10" i="20" a="1"/>
  <c r="B10" i="20" s="1"/>
  <c r="A10" i="20" a="1"/>
  <c r="A10" i="20" s="1"/>
  <c r="F9" i="20"/>
  <c r="B9" i="20" a="1"/>
  <c r="B9" i="20" s="1"/>
  <c r="A9" i="20" a="1"/>
  <c r="A9" i="20" s="1"/>
  <c r="F8" i="20"/>
  <c r="B8" i="20" a="1"/>
  <c r="B8" i="20" s="1"/>
  <c r="A8" i="20" a="1"/>
  <c r="A8" i="20" s="1"/>
  <c r="F7" i="20"/>
  <c r="B7" i="20" a="1"/>
  <c r="B7" i="20" s="1"/>
  <c r="A7" i="20" a="1"/>
  <c r="A7" i="20" s="1"/>
  <c r="B6" i="20" a="1"/>
  <c r="B6" i="20" s="1"/>
  <c r="A6" i="20" a="1"/>
  <c r="A6" i="20" s="1"/>
  <c r="F5" i="20"/>
  <c r="B5" i="20" a="1"/>
  <c r="B5" i="20" s="1"/>
  <c r="A5" i="20" a="1"/>
  <c r="A5" i="20" s="1"/>
  <c r="F4" i="20"/>
  <c r="B4" i="20" a="1"/>
  <c r="B4" i="20" s="1"/>
  <c r="A4" i="20" a="1"/>
  <c r="A4" i="20" s="1"/>
  <c r="F3" i="20"/>
  <c r="B3" i="20" a="1"/>
  <c r="B3" i="20" s="1"/>
  <c r="A3" i="20" a="1"/>
  <c r="A3" i="20" s="1"/>
  <c r="F2" i="20"/>
  <c r="B2" i="20" a="1"/>
  <c r="B2" i="20" s="1"/>
  <c r="A2" i="20" a="1"/>
  <c r="A2" i="20" s="1"/>
  <c r="F17" i="19"/>
  <c r="B17" i="19" a="1"/>
  <c r="B17" i="19" s="1"/>
  <c r="A17" i="19" a="1"/>
  <c r="A17" i="19" s="1"/>
  <c r="F16" i="19"/>
  <c r="B16" i="19" a="1"/>
  <c r="B16" i="19" s="1"/>
  <c r="A16" i="19" a="1"/>
  <c r="A16" i="19" s="1"/>
  <c r="F15" i="19"/>
  <c r="B15" i="19" a="1"/>
  <c r="B15" i="19" s="1"/>
  <c r="A15" i="19" a="1"/>
  <c r="A15" i="19" s="1"/>
  <c r="B14" i="19" a="1"/>
  <c r="B14" i="19" s="1"/>
  <c r="A14" i="19" a="1"/>
  <c r="A14" i="19" s="1"/>
  <c r="B13" i="19" a="1"/>
  <c r="B13" i="19" s="1"/>
  <c r="A13" i="19" a="1"/>
  <c r="A13" i="19" s="1"/>
  <c r="F12" i="19"/>
  <c r="B12" i="19" a="1"/>
  <c r="B12" i="19" s="1"/>
  <c r="A12" i="19" a="1"/>
  <c r="A12" i="19" s="1"/>
  <c r="F11" i="19"/>
  <c r="B11" i="19" a="1"/>
  <c r="B11" i="19" s="1"/>
  <c r="A11" i="19" a="1"/>
  <c r="A11" i="19" s="1"/>
  <c r="F10" i="19"/>
  <c r="B10" i="19" a="1"/>
  <c r="B10" i="19" s="1"/>
  <c r="A10" i="19" a="1"/>
  <c r="A10" i="19" s="1"/>
  <c r="F9" i="19"/>
  <c r="B9" i="19" a="1"/>
  <c r="B9" i="19" s="1"/>
  <c r="A9" i="19" a="1"/>
  <c r="A9" i="19" s="1"/>
  <c r="F8" i="19"/>
  <c r="B8" i="19" a="1"/>
  <c r="B8" i="19" s="1"/>
  <c r="A8" i="19" a="1"/>
  <c r="A8" i="19" s="1"/>
  <c r="F7" i="19"/>
  <c r="B7" i="19" a="1"/>
  <c r="B7" i="19" s="1"/>
  <c r="A7" i="19" a="1"/>
  <c r="A7" i="19" s="1"/>
  <c r="F6" i="19"/>
  <c r="B6" i="19" a="1"/>
  <c r="B6" i="19" s="1"/>
  <c r="A6" i="19" a="1"/>
  <c r="A6" i="19" s="1"/>
  <c r="F5" i="19"/>
  <c r="B5" i="19" a="1"/>
  <c r="B5" i="19" s="1"/>
  <c r="A5" i="19" a="1"/>
  <c r="A5" i="19" s="1"/>
  <c r="F4" i="19"/>
  <c r="B4" i="19" a="1"/>
  <c r="B4" i="19" s="1"/>
  <c r="A4" i="19" a="1"/>
  <c r="A4" i="19" s="1"/>
  <c r="F3" i="19"/>
  <c r="B3" i="19" a="1"/>
  <c r="B3" i="19" s="1"/>
  <c r="A3" i="19" a="1"/>
  <c r="A3" i="19" s="1"/>
  <c r="F2" i="19"/>
  <c r="B2" i="19" a="1"/>
  <c r="B2" i="19" s="1"/>
  <c r="A2" i="19" a="1"/>
  <c r="A2" i="19" s="1"/>
  <c r="F17" i="17"/>
  <c r="B17" i="17" a="1"/>
  <c r="B17" i="17" s="1"/>
  <c r="A17" i="17" a="1"/>
  <c r="A17" i="17" s="1"/>
  <c r="F16" i="17"/>
  <c r="B16" i="17" a="1"/>
  <c r="B16" i="17" s="1"/>
  <c r="A16" i="17" a="1"/>
  <c r="A16" i="17" s="1"/>
  <c r="F15" i="17"/>
  <c r="B15" i="17" a="1"/>
  <c r="B15" i="17" s="1"/>
  <c r="A15" i="17" a="1"/>
  <c r="A15" i="17" s="1"/>
  <c r="F14" i="17"/>
  <c r="B14" i="17" a="1"/>
  <c r="B14" i="17" s="1"/>
  <c r="A14" i="17" a="1"/>
  <c r="A14" i="17" s="1"/>
  <c r="B13" i="17" a="1"/>
  <c r="B13" i="17" s="1"/>
  <c r="A13" i="17" a="1"/>
  <c r="A13" i="17" s="1"/>
  <c r="F12" i="17"/>
  <c r="B12" i="17" a="1"/>
  <c r="B12" i="17" s="1"/>
  <c r="A12" i="17" a="1"/>
  <c r="A12" i="17" s="1"/>
  <c r="F11" i="17"/>
  <c r="B11" i="17" a="1"/>
  <c r="B11" i="17" s="1"/>
  <c r="A11" i="17" a="1"/>
  <c r="A11" i="17" s="1"/>
  <c r="F10" i="17"/>
  <c r="B10" i="17" a="1"/>
  <c r="B10" i="17" s="1"/>
  <c r="A10" i="17" a="1"/>
  <c r="A10" i="17" s="1"/>
  <c r="F9" i="17"/>
  <c r="B9" i="17" a="1"/>
  <c r="B9" i="17" s="1"/>
  <c r="A9" i="17" a="1"/>
  <c r="A9" i="17" s="1"/>
  <c r="F8" i="17"/>
  <c r="B8" i="17" a="1"/>
  <c r="B8" i="17" s="1"/>
  <c r="A8" i="17" a="1"/>
  <c r="A8" i="17" s="1"/>
  <c r="F7" i="17"/>
  <c r="B7" i="17" a="1"/>
  <c r="B7" i="17" s="1"/>
  <c r="A7" i="17" a="1"/>
  <c r="A7" i="17" s="1"/>
  <c r="F6" i="17"/>
  <c r="B6" i="17" a="1"/>
  <c r="B6" i="17" s="1"/>
  <c r="A6" i="17" a="1"/>
  <c r="A6" i="17" s="1"/>
  <c r="F5" i="17"/>
  <c r="B5" i="17" a="1"/>
  <c r="B5" i="17" s="1"/>
  <c r="A5" i="17" a="1"/>
  <c r="A5" i="17" s="1"/>
  <c r="F4" i="17"/>
  <c r="B4" i="17" a="1"/>
  <c r="B4" i="17" s="1"/>
  <c r="A4" i="17" a="1"/>
  <c r="A4" i="17" s="1"/>
  <c r="F3" i="17"/>
  <c r="B3" i="17" a="1"/>
  <c r="B3" i="17" s="1"/>
  <c r="A3" i="17" a="1"/>
  <c r="A3" i="17" s="1"/>
  <c r="F2" i="17"/>
  <c r="B2" i="17" a="1"/>
  <c r="B2" i="17" s="1"/>
  <c r="A2" i="17" a="1"/>
  <c r="A2" i="17" s="1"/>
  <c r="F17" i="15"/>
  <c r="B17" i="15" a="1"/>
  <c r="B17" i="15" s="1"/>
  <c r="A17" i="15" a="1"/>
  <c r="A17" i="15" s="1"/>
  <c r="F16" i="15"/>
  <c r="B16" i="15" a="1"/>
  <c r="B16" i="15" s="1"/>
  <c r="A16" i="15" a="1"/>
  <c r="A16" i="15" s="1"/>
  <c r="F15" i="15"/>
  <c r="B15" i="15" a="1"/>
  <c r="B15" i="15" s="1"/>
  <c r="A15" i="15" a="1"/>
  <c r="A15" i="15" s="1"/>
  <c r="F14" i="15"/>
  <c r="B14" i="15" a="1"/>
  <c r="B14" i="15" s="1"/>
  <c r="A14" i="15" a="1"/>
  <c r="A14" i="15" s="1"/>
  <c r="B13" i="15" a="1"/>
  <c r="B13" i="15" s="1"/>
  <c r="A13" i="15" a="1"/>
  <c r="A13" i="15" s="1"/>
  <c r="B12" i="15" a="1"/>
  <c r="B12" i="15" s="1"/>
  <c r="A12" i="15" a="1"/>
  <c r="A12" i="15" s="1"/>
  <c r="B11" i="15" a="1"/>
  <c r="B11" i="15" s="1"/>
  <c r="A11" i="15" a="1"/>
  <c r="A11" i="15" s="1"/>
  <c r="F10" i="15"/>
  <c r="B10" i="15" a="1"/>
  <c r="B10" i="15" s="1"/>
  <c r="A10" i="15" a="1"/>
  <c r="A10" i="15" s="1"/>
  <c r="F9" i="15"/>
  <c r="B9" i="15" a="1"/>
  <c r="B9" i="15" s="1"/>
  <c r="A9" i="15" a="1"/>
  <c r="A9" i="15" s="1"/>
  <c r="F8" i="15"/>
  <c r="B8" i="15" a="1"/>
  <c r="B8" i="15" s="1"/>
  <c r="A8" i="15" a="1"/>
  <c r="A8" i="15" s="1"/>
  <c r="F7" i="15"/>
  <c r="B7" i="15" a="1"/>
  <c r="B7" i="15" s="1"/>
  <c r="A7" i="15" a="1"/>
  <c r="A7" i="15" s="1"/>
  <c r="F6" i="15"/>
  <c r="B6" i="15" a="1"/>
  <c r="B6" i="15" s="1"/>
  <c r="A6" i="15" a="1"/>
  <c r="A6" i="15" s="1"/>
  <c r="F5" i="15"/>
  <c r="B5" i="15" a="1"/>
  <c r="B5" i="15" s="1"/>
  <c r="A5" i="15" a="1"/>
  <c r="A5" i="15" s="1"/>
  <c r="F4" i="15"/>
  <c r="B4" i="15" a="1"/>
  <c r="B4" i="15" s="1"/>
  <c r="A4" i="15" a="1"/>
  <c r="A4" i="15" s="1"/>
  <c r="F3" i="15"/>
  <c r="B3" i="15" a="1"/>
  <c r="B3" i="15" s="1"/>
  <c r="A3" i="15" a="1"/>
  <c r="A3" i="15" s="1"/>
  <c r="F2" i="15"/>
  <c r="B2" i="15" a="1"/>
  <c r="B2" i="15" s="1"/>
  <c r="A2" i="15" a="1"/>
  <c r="A2" i="15" s="1"/>
  <c r="F17" i="14"/>
  <c r="B17" i="14" a="1"/>
  <c r="B17" i="14" s="1"/>
  <c r="A17" i="14" a="1"/>
  <c r="A17" i="14" s="1"/>
  <c r="F16" i="14"/>
  <c r="B16" i="14" a="1"/>
  <c r="B16" i="14" s="1"/>
  <c r="A16" i="14" a="1"/>
  <c r="A16" i="14" s="1"/>
  <c r="F15" i="14"/>
  <c r="B15" i="14" a="1"/>
  <c r="B15" i="14" s="1"/>
  <c r="A15" i="14" a="1"/>
  <c r="A15" i="14" s="1"/>
  <c r="F14" i="14"/>
  <c r="B14" i="14" a="1"/>
  <c r="B14" i="14" s="1"/>
  <c r="A14" i="14" a="1"/>
  <c r="A14" i="14" s="1"/>
  <c r="B13" i="14" a="1"/>
  <c r="B13" i="14" s="1"/>
  <c r="A13" i="14" a="1"/>
  <c r="A13" i="14" s="1"/>
  <c r="F12" i="14"/>
  <c r="B12" i="14" a="1"/>
  <c r="B12" i="14" s="1"/>
  <c r="A12" i="14" a="1"/>
  <c r="A12" i="14" s="1"/>
  <c r="F11" i="14"/>
  <c r="B11" i="14" a="1"/>
  <c r="B11" i="14" s="1"/>
  <c r="A11" i="14" a="1"/>
  <c r="A11" i="14" s="1"/>
  <c r="F10" i="14"/>
  <c r="B10" i="14" a="1"/>
  <c r="B10" i="14" s="1"/>
  <c r="A10" i="14" a="1"/>
  <c r="A10" i="14" s="1"/>
  <c r="F9" i="14"/>
  <c r="B9" i="14" a="1"/>
  <c r="B9" i="14" s="1"/>
  <c r="A9" i="14" a="1"/>
  <c r="A9" i="14" s="1"/>
  <c r="F8" i="14"/>
  <c r="B8" i="14" a="1"/>
  <c r="B8" i="14" s="1"/>
  <c r="A8" i="14" a="1"/>
  <c r="A8" i="14" s="1"/>
  <c r="F7" i="14"/>
  <c r="B7" i="14" a="1"/>
  <c r="B7" i="14" s="1"/>
  <c r="A7" i="14" a="1"/>
  <c r="A7" i="14" s="1"/>
  <c r="F6" i="14"/>
  <c r="B6" i="14" a="1"/>
  <c r="B6" i="14" s="1"/>
  <c r="A6" i="14" a="1"/>
  <c r="A6" i="14" s="1"/>
  <c r="F5" i="14"/>
  <c r="B5" i="14" a="1"/>
  <c r="B5" i="14" s="1"/>
  <c r="A5" i="14" a="1"/>
  <c r="A5" i="14" s="1"/>
  <c r="F4" i="14"/>
  <c r="B4" i="14" a="1"/>
  <c r="B4" i="14" s="1"/>
  <c r="A4" i="14" a="1"/>
  <c r="A4" i="14" s="1"/>
  <c r="F3" i="14"/>
  <c r="B3" i="14" a="1"/>
  <c r="B3" i="14" s="1"/>
  <c r="A3" i="14" a="1"/>
  <c r="A3" i="14" s="1"/>
  <c r="F2" i="14"/>
  <c r="B2" i="14" a="1"/>
  <c r="B2" i="14" s="1"/>
  <c r="A2" i="14" a="1"/>
  <c r="A2" i="14" s="1"/>
  <c r="A3" i="6" a="1"/>
  <c r="A3" i="6" s="1"/>
  <c r="B3" i="6" a="1"/>
  <c r="B3" i="6" s="1"/>
  <c r="F3" i="6"/>
  <c r="A4" i="6" a="1"/>
  <c r="A4" i="6" s="1"/>
  <c r="B4" i="6" a="1"/>
  <c r="B4" i="6" s="1"/>
  <c r="F4" i="6"/>
  <c r="A5" i="6" a="1"/>
  <c r="A5" i="6" s="1"/>
  <c r="B5" i="6" a="1"/>
  <c r="B5" i="6" s="1"/>
  <c r="F5" i="6"/>
  <c r="A6" i="6" a="1"/>
  <c r="A6" i="6" s="1"/>
  <c r="B6" i="6" a="1"/>
  <c r="B6" i="6" s="1"/>
  <c r="F6" i="6"/>
  <c r="A7" i="6" a="1"/>
  <c r="A7" i="6" s="1"/>
  <c r="B7" i="6" a="1"/>
  <c r="B7" i="6" s="1"/>
  <c r="F7" i="6"/>
  <c r="A8" i="6" a="1"/>
  <c r="A8" i="6" s="1"/>
  <c r="B8" i="6" a="1"/>
  <c r="B8" i="6" s="1"/>
  <c r="F8" i="6"/>
  <c r="A9" i="6" a="1"/>
  <c r="A9" i="6" s="1"/>
  <c r="B9" i="6" a="1"/>
  <c r="B9" i="6" s="1"/>
  <c r="F9" i="6"/>
  <c r="A10" i="6" a="1"/>
  <c r="A10" i="6" s="1"/>
  <c r="B10" i="6" a="1"/>
  <c r="B10" i="6" s="1"/>
  <c r="F10" i="6"/>
  <c r="A11" i="6" a="1"/>
  <c r="A11" i="6" s="1"/>
  <c r="B11" i="6" a="1"/>
  <c r="B11" i="6" s="1"/>
  <c r="F11" i="6"/>
  <c r="A12" i="6" a="1"/>
  <c r="A12" i="6" s="1"/>
  <c r="B12" i="6" a="1"/>
  <c r="B12" i="6" s="1"/>
  <c r="F12" i="6"/>
  <c r="A13" i="6" a="1"/>
  <c r="A13" i="6" s="1"/>
  <c r="B13" i="6" a="1"/>
  <c r="B13" i="6" s="1"/>
  <c r="A14" i="6" a="1"/>
  <c r="A14" i="6" s="1"/>
  <c r="B14" i="6" a="1"/>
  <c r="B14" i="6" s="1"/>
  <c r="F14" i="6"/>
  <c r="A15" i="6" a="1"/>
  <c r="A15" i="6" s="1"/>
  <c r="B15" i="6" a="1"/>
  <c r="B15" i="6" s="1"/>
  <c r="F15" i="6"/>
  <c r="A16" i="6" a="1"/>
  <c r="A16" i="6" s="1"/>
  <c r="B16" i="6" a="1"/>
  <c r="B16" i="6" s="1"/>
  <c r="F16" i="6"/>
  <c r="A17" i="6" a="1"/>
  <c r="A17" i="6" s="1"/>
  <c r="B17" i="6" a="1"/>
  <c r="B17" i="6" s="1"/>
  <c r="F17" i="6"/>
  <c r="A3" i="5" a="1"/>
  <c r="A3" i="5" s="1"/>
  <c r="B3" i="5" a="1"/>
  <c r="B3" i="5" s="1"/>
  <c r="F3" i="5"/>
  <c r="A4" i="5" a="1"/>
  <c r="A4" i="5" s="1"/>
  <c r="B4" i="5" a="1"/>
  <c r="B4" i="5" s="1"/>
  <c r="F4" i="5"/>
  <c r="A5" i="5" a="1"/>
  <c r="A5" i="5" s="1"/>
  <c r="B5" i="5" a="1"/>
  <c r="B5" i="5" s="1"/>
  <c r="F5" i="5"/>
  <c r="A6" i="5" a="1"/>
  <c r="A6" i="5" s="1"/>
  <c r="B6" i="5" a="1"/>
  <c r="B6" i="5" s="1"/>
  <c r="A7" i="5" a="1"/>
  <c r="A7" i="5" s="1"/>
  <c r="B7" i="5" a="1"/>
  <c r="B7" i="5" s="1"/>
  <c r="F7" i="5"/>
  <c r="A8" i="5" a="1"/>
  <c r="A8" i="5" s="1"/>
  <c r="B8" i="5" a="1"/>
  <c r="B8" i="5" s="1"/>
  <c r="F8" i="5"/>
  <c r="A9" i="5" a="1"/>
  <c r="A9" i="5" s="1"/>
  <c r="B9" i="5" a="1"/>
  <c r="B9" i="5" s="1"/>
  <c r="F9" i="5"/>
  <c r="A10" i="5" a="1"/>
  <c r="A10" i="5" s="1"/>
  <c r="B10" i="5" a="1"/>
  <c r="B10" i="5" s="1"/>
  <c r="F10" i="5"/>
  <c r="A11" i="5" a="1"/>
  <c r="A11" i="5" s="1"/>
  <c r="B11" i="5" a="1"/>
  <c r="B11" i="5" s="1"/>
  <c r="F11" i="5"/>
  <c r="A12" i="5" a="1"/>
  <c r="A12" i="5" s="1"/>
  <c r="B12" i="5" a="1"/>
  <c r="B12" i="5" s="1"/>
  <c r="F12" i="5"/>
  <c r="A13" i="5" a="1"/>
  <c r="A13" i="5" s="1"/>
  <c r="B13" i="5" a="1"/>
  <c r="B13" i="5" s="1"/>
  <c r="A14" i="5" a="1"/>
  <c r="A14" i="5" s="1"/>
  <c r="B14" i="5" a="1"/>
  <c r="B14" i="5" s="1"/>
  <c r="F14" i="5"/>
  <c r="A15" i="5" a="1"/>
  <c r="A15" i="5" s="1"/>
  <c r="B15" i="5" a="1"/>
  <c r="B15" i="5" s="1"/>
  <c r="F15" i="5"/>
  <c r="A16" i="5" a="1"/>
  <c r="A16" i="5" s="1"/>
  <c r="B16" i="5" a="1"/>
  <c r="B16" i="5" s="1"/>
  <c r="F16" i="5"/>
  <c r="A17" i="5" a="1"/>
  <c r="A17" i="5" s="1"/>
  <c r="B17" i="5" a="1"/>
  <c r="B17" i="5" s="1"/>
  <c r="F17" i="5"/>
  <c r="A3" i="4" a="1"/>
  <c r="A3" i="4" s="1"/>
  <c r="B3" i="4" a="1"/>
  <c r="B3" i="4" s="1"/>
  <c r="A4" i="4" a="1"/>
  <c r="A4" i="4" s="1"/>
  <c r="B4" i="4" a="1"/>
  <c r="B4" i="4" s="1"/>
  <c r="A5" i="4" a="1"/>
  <c r="A5" i="4" s="1"/>
  <c r="B5" i="4" a="1"/>
  <c r="B5" i="4" s="1"/>
  <c r="A6" i="4" a="1"/>
  <c r="A6" i="4" s="1"/>
  <c r="B6" i="4" a="1"/>
  <c r="B6" i="4" s="1"/>
  <c r="F6" i="4"/>
  <c r="A7" i="4" a="1"/>
  <c r="A7" i="4" s="1"/>
  <c r="B7" i="4" a="1"/>
  <c r="B7" i="4" s="1"/>
  <c r="A8" i="4" a="1"/>
  <c r="A8" i="4" s="1"/>
  <c r="B8" i="4" a="1"/>
  <c r="B8" i="4" s="1"/>
  <c r="A9" i="4" a="1"/>
  <c r="A9" i="4" s="1"/>
  <c r="B9" i="4" a="1"/>
  <c r="B9" i="4" s="1"/>
  <c r="A10" i="4" a="1"/>
  <c r="A10" i="4" s="1"/>
  <c r="B10" i="4" a="1"/>
  <c r="B10" i="4" s="1"/>
  <c r="A11" i="4" a="1"/>
  <c r="A11" i="4" s="1"/>
  <c r="B11" i="4" a="1"/>
  <c r="B11" i="4" s="1"/>
  <c r="F11" i="4"/>
  <c r="A12" i="4" a="1"/>
  <c r="A12" i="4" s="1"/>
  <c r="B12" i="4" a="1"/>
  <c r="B12" i="4" s="1"/>
  <c r="A13" i="4" a="1"/>
  <c r="A13" i="4" s="1"/>
  <c r="B13" i="4" a="1"/>
  <c r="B13" i="4" s="1"/>
  <c r="A14" i="4" a="1"/>
  <c r="A14" i="4" s="1"/>
  <c r="B14" i="4" a="1"/>
  <c r="B14" i="4" s="1"/>
  <c r="F14" i="4"/>
  <c r="A15" i="4" a="1"/>
  <c r="A15" i="4" s="1"/>
  <c r="B15" i="4" a="1"/>
  <c r="B15" i="4" s="1"/>
  <c r="F15" i="4"/>
  <c r="A16" i="4" a="1"/>
  <c r="A16" i="4" s="1"/>
  <c r="B16" i="4" a="1"/>
  <c r="B16" i="4" s="1"/>
  <c r="F16" i="4"/>
  <c r="A17" i="4" a="1"/>
  <c r="A17" i="4" s="1"/>
  <c r="B17" i="4" a="1"/>
  <c r="B17" i="4" s="1"/>
  <c r="F17" i="4"/>
  <c r="B2" i="4" a="1"/>
  <c r="B2" i="4" s="1"/>
  <c r="A2" i="4" a="1"/>
  <c r="A2" i="4" s="1"/>
  <c r="F2" i="5"/>
  <c r="B2" i="5" a="1"/>
  <c r="B2" i="5" s="1"/>
  <c r="A2" i="5" a="1"/>
  <c r="A2" i="5" s="1"/>
  <c r="F2" i="6"/>
  <c r="B2" i="6" a="1"/>
  <c r="B2" i="6" s="1"/>
  <c r="A2" i="6" a="1"/>
  <c r="A2" i="6" s="1"/>
  <c r="E3" i="2" a="1"/>
  <c r="E3" i="2" s="1"/>
  <c r="E4" i="2" a="1"/>
  <c r="E4" i="2" s="1"/>
  <c r="E5" i="2" a="1"/>
  <c r="E5" i="2" s="1"/>
  <c r="E6" i="2" a="1"/>
  <c r="E6" i="2" s="1"/>
  <c r="E7" i="2" a="1"/>
  <c r="E7" i="2" s="1"/>
  <c r="E8" i="2" a="1"/>
  <c r="E8" i="2"/>
  <c r="E9" i="2" a="1"/>
  <c r="E9" i="2" s="1"/>
  <c r="E10" i="2" a="1"/>
  <c r="E10" i="2"/>
  <c r="E11" i="2" a="1"/>
  <c r="E11" i="2" s="1"/>
  <c r="E12" i="2" a="1"/>
  <c r="E12" i="2" s="1"/>
  <c r="E13" i="2" a="1"/>
  <c r="E13" i="2"/>
  <c r="E14" i="2" a="1"/>
  <c r="E14" i="2"/>
  <c r="E15" i="2" a="1"/>
  <c r="E15" i="2" s="1"/>
  <c r="E16" i="2" a="1"/>
  <c r="E16" i="2"/>
  <c r="E17" i="2" a="1"/>
  <c r="E17" i="2" s="1"/>
  <c r="C3" i="2" a="1"/>
  <c r="C3" i="2" s="1"/>
  <c r="C4" i="2" a="1"/>
  <c r="C4" i="2" s="1"/>
  <c r="C5" i="2" a="1"/>
  <c r="C5" i="2" s="1"/>
  <c r="C6" i="2" a="1"/>
  <c r="C6" i="2"/>
  <c r="C7" i="2" a="1"/>
  <c r="C7" i="2"/>
  <c r="C8" i="2" a="1"/>
  <c r="C8" i="2" s="1"/>
  <c r="C9" i="2" a="1"/>
  <c r="C9" i="2" s="1"/>
  <c r="C10" i="2" a="1"/>
  <c r="C10" i="2" s="1"/>
  <c r="C11" i="2" a="1"/>
  <c r="C11" i="2" s="1"/>
  <c r="C12" i="2" a="1"/>
  <c r="C12" i="2"/>
  <c r="C13" i="2" a="1"/>
  <c r="C13" i="2"/>
  <c r="C14" i="2" a="1"/>
  <c r="C14" i="2" s="1"/>
  <c r="C15" i="2" a="1"/>
  <c r="C15" i="2" s="1"/>
  <c r="C16" i="2" a="1"/>
  <c r="C16" i="2" s="1"/>
  <c r="C17" i="2" a="1"/>
  <c r="C17" i="2" s="1"/>
  <c r="A3" i="2" a="1"/>
  <c r="A3" i="2" s="1"/>
  <c r="A3" i="35" s="1" a="1"/>
  <c r="A3" i="35" s="1"/>
  <c r="A4" i="2" a="1"/>
  <c r="A4" i="2" s="1"/>
  <c r="A5" i="2" a="1"/>
  <c r="A5" i="2" s="1"/>
  <c r="A5" i="36" s="1" a="1"/>
  <c r="A5" i="36" s="1"/>
  <c r="A6" i="2" a="1"/>
  <c r="A6" i="2" s="1"/>
  <c r="A6" i="31" s="1" a="1"/>
  <c r="A6" i="31" s="1"/>
  <c r="A7" i="2" a="1"/>
  <c r="A7" i="2" s="1"/>
  <c r="A7" i="9" s="1" a="1"/>
  <c r="A7" i="9" s="1"/>
  <c r="A8" i="2" a="1"/>
  <c r="A8" i="2" s="1"/>
  <c r="A9" i="2" a="1"/>
  <c r="A9" i="2" s="1"/>
  <c r="A9" i="36" s="1" a="1"/>
  <c r="A9" i="36" s="1"/>
  <c r="A10" i="2" a="1"/>
  <c r="A10" i="2" s="1"/>
  <c r="A11" i="2" a="1"/>
  <c r="A11" i="2" s="1"/>
  <c r="A12" i="2" a="1"/>
  <c r="A12" i="2" s="1"/>
  <c r="A12" i="35" s="1" a="1"/>
  <c r="A12" i="35" s="1"/>
  <c r="A13" i="2" a="1"/>
  <c r="A13" i="2" s="1"/>
  <c r="A13" i="36" s="1" a="1"/>
  <c r="A13" i="36" s="1"/>
  <c r="A14" i="2" a="1"/>
  <c r="A14" i="2" s="1"/>
  <c r="A14" i="31" s="1" a="1"/>
  <c r="A14" i="31" s="1"/>
  <c r="A15" i="2" a="1"/>
  <c r="A15" i="2" s="1"/>
  <c r="A16" i="2" a="1"/>
  <c r="A16" i="2" s="1"/>
  <c r="A16" i="34" s="1" a="1"/>
  <c r="A16" i="34" s="1"/>
  <c r="A17" i="2" a="1"/>
  <c r="A17" i="2" s="1"/>
  <c r="F3" i="2" a="1"/>
  <c r="F3" i="2" s="1"/>
  <c r="F4" i="2" a="1"/>
  <c r="F4" i="2" s="1"/>
  <c r="F5" i="2" a="1"/>
  <c r="F5" i="2" s="1"/>
  <c r="F6" i="2" a="1"/>
  <c r="F6" i="2" s="1"/>
  <c r="F7" i="2" a="1"/>
  <c r="F7" i="2" s="1"/>
  <c r="F8" i="2" a="1"/>
  <c r="F8" i="2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14" i="2" a="1"/>
  <c r="F14" i="2"/>
  <c r="F15" i="2" a="1"/>
  <c r="F15" i="2" s="1"/>
  <c r="F16" i="2" a="1"/>
  <c r="F16" i="2" s="1"/>
  <c r="F17" i="2" a="1"/>
  <c r="F17" i="2" s="1"/>
  <c r="D3" i="2" a="1"/>
  <c r="D3" i="2" s="1"/>
  <c r="D4" i="2" a="1"/>
  <c r="D4" i="2" s="1"/>
  <c r="D5" i="2" a="1"/>
  <c r="D5" i="2" s="1"/>
  <c r="D6" i="2" a="1"/>
  <c r="D6" i="2"/>
  <c r="D7" i="2" a="1"/>
  <c r="D7" i="2" s="1"/>
  <c r="D8" i="2" a="1"/>
  <c r="D8" i="2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14" i="2" a="1"/>
  <c r="D14" i="2" s="1"/>
  <c r="D15" i="2" a="1"/>
  <c r="D15" i="2" s="1"/>
  <c r="D16" i="2" a="1"/>
  <c r="D16" i="2" s="1"/>
  <c r="D17" i="2" a="1"/>
  <c r="D17" i="2" s="1"/>
  <c r="B3" i="2" a="1"/>
  <c r="B3" i="2" s="1"/>
  <c r="B3" i="34" s="1" a="1"/>
  <c r="B3" i="34" s="1"/>
  <c r="B4" i="2" a="1"/>
  <c r="B4" i="2" s="1"/>
  <c r="B4" i="32" s="1" a="1"/>
  <c r="B4" i="32" s="1"/>
  <c r="B5" i="2" a="1"/>
  <c r="B5" i="2" s="1"/>
  <c r="B5" i="36" s="1" a="1"/>
  <c r="B5" i="36" s="1"/>
  <c r="B6" i="2" a="1"/>
  <c r="B6" i="2" s="1"/>
  <c r="B7" i="2" a="1"/>
  <c r="B7" i="2" s="1"/>
  <c r="B7" i="35" s="1" a="1"/>
  <c r="B7" i="35" s="1"/>
  <c r="B8" i="2" a="1"/>
  <c r="B8" i="2" s="1"/>
  <c r="B9" i="2" a="1"/>
  <c r="B9" i="2" s="1"/>
  <c r="B9" i="36" s="1" a="1"/>
  <c r="B9" i="36" s="1"/>
  <c r="B10" i="2" a="1"/>
  <c r="B10" i="2" s="1"/>
  <c r="B10" i="31" s="1" a="1"/>
  <c r="B10" i="31" s="1"/>
  <c r="B11" i="2" a="1"/>
  <c r="B11" i="2" s="1"/>
  <c r="B11" i="9" s="1" a="1"/>
  <c r="B11" i="9" s="1"/>
  <c r="B12" i="2" a="1"/>
  <c r="B12" i="2" s="1"/>
  <c r="B12" i="35" s="1" a="1"/>
  <c r="B12" i="35" s="1"/>
  <c r="B13" i="2" a="1"/>
  <c r="B13" i="2" s="1"/>
  <c r="B14" i="2" a="1"/>
  <c r="B14" i="2" s="1"/>
  <c r="B15" i="2" a="1"/>
  <c r="B15" i="2" s="1"/>
  <c r="B15" i="34" s="1" a="1"/>
  <c r="B15" i="34" s="1"/>
  <c r="B16" i="2" a="1"/>
  <c r="B16" i="2" s="1"/>
  <c r="B16" i="33" s="1" a="1"/>
  <c r="B16" i="33" s="1"/>
  <c r="B17" i="2" a="1"/>
  <c r="B17" i="2" s="1"/>
  <c r="B17" i="9" s="1" a="1"/>
  <c r="B17" i="9" s="1"/>
  <c r="F2" i="2" a="1"/>
  <c r="F2" i="2" s="1"/>
  <c r="E2" i="2" a="1"/>
  <c r="E2" i="2" s="1"/>
  <c r="D2" i="2" a="1"/>
  <c r="D2" i="2" s="1"/>
  <c r="C2" i="2" a="1"/>
  <c r="C2" i="2" s="1"/>
  <c r="B2" i="2" a="1"/>
  <c r="B2" i="2" s="1"/>
  <c r="B2" i="32" s="1" a="1"/>
  <c r="B2" i="32" s="1"/>
  <c r="A2" i="2" a="1"/>
  <c r="A2" i="2" s="1"/>
  <c r="A2" i="9" s="1" a="1"/>
  <c r="A2" i="9" s="1"/>
  <c r="A7" i="35" l="1" a="1"/>
  <c r="A7" i="35" s="1"/>
  <c r="B2" i="31" a="1"/>
  <c r="B2" i="31" s="1"/>
  <c r="B12" i="8" a="1"/>
  <c r="B12" i="8" s="1"/>
  <c r="B5" i="31" a="1"/>
  <c r="B5" i="31" s="1"/>
  <c r="B12" i="32" a="1"/>
  <c r="B12" i="32" s="1"/>
  <c r="A4" i="34" a="1"/>
  <c r="A4" i="34" s="1"/>
  <c r="D4" i="34" s="1"/>
  <c r="A4" i="35" a="1"/>
  <c r="A4" i="35" s="1"/>
  <c r="A4" i="8" a="1"/>
  <c r="A4" i="8" s="1"/>
  <c r="A4" i="33" a="1"/>
  <c r="A4" i="33" s="1"/>
  <c r="A4" i="31" a="1"/>
  <c r="A4" i="31" s="1"/>
  <c r="A4" i="9" a="1"/>
  <c r="A4" i="9" s="1"/>
  <c r="A4" i="36" a="1"/>
  <c r="A4" i="36" s="1"/>
  <c r="A4" i="32" a="1"/>
  <c r="A4" i="32" s="1"/>
  <c r="B8" i="32" a="1"/>
  <c r="B8" i="32" s="1"/>
  <c r="B8" i="8" a="1"/>
  <c r="B8" i="8" s="1"/>
  <c r="B8" i="35" a="1"/>
  <c r="B8" i="35" s="1"/>
  <c r="B8" i="34" a="1"/>
  <c r="B8" i="34" s="1"/>
  <c r="B8" i="9" a="1"/>
  <c r="B8" i="9" s="1"/>
  <c r="B8" i="33" a="1"/>
  <c r="B8" i="33" s="1"/>
  <c r="B8" i="31" a="1"/>
  <c r="B8" i="31" s="1"/>
  <c r="B8" i="36" a="1"/>
  <c r="B8" i="36" s="1"/>
  <c r="A11" i="31" a="1"/>
  <c r="A11" i="31" s="1"/>
  <c r="A11" i="36" a="1"/>
  <c r="A11" i="36" s="1"/>
  <c r="A11" i="32" a="1"/>
  <c r="A11" i="32" s="1"/>
  <c r="C11" i="32" s="1"/>
  <c r="A11" i="8" a="1"/>
  <c r="A11" i="8" s="1"/>
  <c r="A11" i="35" a="1"/>
  <c r="A11" i="35" s="1"/>
  <c r="A11" i="34" a="1"/>
  <c r="A11" i="34" s="1"/>
  <c r="A11" i="9" a="1"/>
  <c r="A11" i="9" s="1"/>
  <c r="A11" i="33" a="1"/>
  <c r="A11" i="33" s="1"/>
  <c r="E11" i="33" s="1"/>
  <c r="A10" i="31" a="1"/>
  <c r="A10" i="31" s="1"/>
  <c r="A10" i="36" a="1"/>
  <c r="A10" i="36" s="1"/>
  <c r="A10" i="32" a="1"/>
  <c r="A10" i="32" s="1"/>
  <c r="F10" i="32" s="1"/>
  <c r="A10" i="8" a="1"/>
  <c r="A10" i="8" s="1"/>
  <c r="A10" i="35" a="1"/>
  <c r="A10" i="35" s="1"/>
  <c r="A10" i="34" a="1"/>
  <c r="A10" i="34" s="1"/>
  <c r="E10" i="34" s="1"/>
  <c r="A10" i="9" a="1"/>
  <c r="A10" i="9" s="1"/>
  <c r="A10" i="33" a="1"/>
  <c r="A10" i="33" s="1"/>
  <c r="B6" i="9" a="1"/>
  <c r="B6" i="9" s="1"/>
  <c r="B6" i="33" a="1"/>
  <c r="B6" i="33" s="1"/>
  <c r="B6" i="31" a="1"/>
  <c r="B6" i="31" s="1"/>
  <c r="B6" i="36" a="1"/>
  <c r="B6" i="36" s="1"/>
  <c r="B6" i="32" a="1"/>
  <c r="B6" i="32" s="1"/>
  <c r="B6" i="8" a="1"/>
  <c r="B6" i="8" s="1"/>
  <c r="B6" i="34" a="1"/>
  <c r="B6" i="34" s="1"/>
  <c r="B6" i="35" a="1"/>
  <c r="B6" i="35" s="1"/>
  <c r="A17" i="33" a="1"/>
  <c r="A17" i="33" s="1"/>
  <c r="C17" i="33" s="1"/>
  <c r="A17" i="36" a="1"/>
  <c r="A17" i="36" s="1"/>
  <c r="A17" i="35" a="1"/>
  <c r="A17" i="35" s="1"/>
  <c r="A17" i="34" a="1"/>
  <c r="A17" i="34" s="1"/>
  <c r="C17" i="34" s="1"/>
  <c r="A17" i="8" a="1"/>
  <c r="A17" i="8" s="1"/>
  <c r="E17" i="8" s="1"/>
  <c r="A17" i="31" a="1"/>
  <c r="A17" i="31" s="1"/>
  <c r="C17" i="31" s="1"/>
  <c r="A17" i="9" a="1"/>
  <c r="A17" i="9" s="1"/>
  <c r="A17" i="32" a="1"/>
  <c r="A17" i="32" s="1"/>
  <c r="C17" i="32" s="1"/>
  <c r="A8" i="35" a="1"/>
  <c r="A8" i="35" s="1"/>
  <c r="A8" i="8" a="1"/>
  <c r="A8" i="8" s="1"/>
  <c r="A8" i="34" a="1"/>
  <c r="A8" i="34" s="1"/>
  <c r="D8" i="34" s="1"/>
  <c r="A8" i="9" a="1"/>
  <c r="A8" i="9" s="1"/>
  <c r="A8" i="33" a="1"/>
  <c r="A8" i="33" s="1"/>
  <c r="A8" i="31" a="1"/>
  <c r="A8" i="31" s="1"/>
  <c r="F8" i="31" s="1"/>
  <c r="A8" i="36" a="1"/>
  <c r="A8" i="36" s="1"/>
  <c r="A8" i="32" a="1"/>
  <c r="A8" i="32" s="1"/>
  <c r="E8" i="32" s="1"/>
  <c r="B13" i="36" a="1"/>
  <c r="B13" i="36" s="1"/>
  <c r="B13" i="32" a="1"/>
  <c r="B13" i="32" s="1"/>
  <c r="B13" i="8" a="1"/>
  <c r="B13" i="8" s="1"/>
  <c r="B13" i="35" a="1"/>
  <c r="B13" i="35" s="1"/>
  <c r="B13" i="9" a="1"/>
  <c r="B13" i="9" s="1"/>
  <c r="B13" i="33" a="1"/>
  <c r="B13" i="33" s="1"/>
  <c r="B13" i="34" a="1"/>
  <c r="B13" i="34" s="1"/>
  <c r="B13" i="31" a="1"/>
  <c r="B13" i="31" s="1"/>
  <c r="D16" i="34"/>
  <c r="F16" i="34"/>
  <c r="C16" i="34"/>
  <c r="B14" i="31" a="1"/>
  <c r="B14" i="31" s="1"/>
  <c r="B14" i="8" a="1"/>
  <c r="B14" i="8" s="1"/>
  <c r="B14" i="36" a="1"/>
  <c r="B14" i="36" s="1"/>
  <c r="B14" i="32" a="1"/>
  <c r="B14" i="32" s="1"/>
  <c r="B14" i="9" a="1"/>
  <c r="B14" i="9" s="1"/>
  <c r="B14" i="35" a="1"/>
  <c r="B14" i="35" s="1"/>
  <c r="B14" i="33" a="1"/>
  <c r="B14" i="33" s="1"/>
  <c r="B14" i="34" a="1"/>
  <c r="B14" i="34" s="1"/>
  <c r="A15" i="31" a="1"/>
  <c r="A15" i="31" s="1"/>
  <c r="A15" i="8" a="1"/>
  <c r="A15" i="8" s="1"/>
  <c r="F15" i="8" s="1"/>
  <c r="A15" i="32" a="1"/>
  <c r="A15" i="32" s="1"/>
  <c r="D15" i="32" s="1"/>
  <c r="A15" i="36" a="1"/>
  <c r="A15" i="36" s="1"/>
  <c r="A15" i="9" a="1"/>
  <c r="A15" i="9" s="1"/>
  <c r="A15" i="35" a="1"/>
  <c r="A15" i="35" s="1"/>
  <c r="A15" i="33" a="1"/>
  <c r="A15" i="33" s="1"/>
  <c r="C15" i="33" s="1"/>
  <c r="A15" i="34" a="1"/>
  <c r="A15" i="34" s="1"/>
  <c r="B9" i="31" a="1"/>
  <c r="B9" i="31" s="1"/>
  <c r="A6" i="9" a="1"/>
  <c r="A6" i="9" s="1"/>
  <c r="B16" i="36" a="1"/>
  <c r="B16" i="36" s="1"/>
  <c r="A2" i="8" a="1"/>
  <c r="A2" i="8" s="1"/>
  <c r="F2" i="8" s="1"/>
  <c r="A7" i="34" a="1"/>
  <c r="A7" i="34" s="1"/>
  <c r="F7" i="34" s="1"/>
  <c r="A3" i="34" a="1"/>
  <c r="A3" i="34" s="1"/>
  <c r="A12" i="8" a="1"/>
  <c r="A12" i="8" s="1"/>
  <c r="C12" i="8" s="1"/>
  <c r="A7" i="8" a="1"/>
  <c r="A7" i="8" s="1"/>
  <c r="D7" i="8" s="1"/>
  <c r="B16" i="32" a="1"/>
  <c r="B16" i="32" s="1"/>
  <c r="A16" i="33" a="1"/>
  <c r="A16" i="33" s="1"/>
  <c r="C16" i="33" s="1"/>
  <c r="B10" i="33" a="1"/>
  <c r="B10" i="33" s="1"/>
  <c r="A6" i="33" a="1"/>
  <c r="A6" i="33" s="1"/>
  <c r="E6" i="33" s="1"/>
  <c r="B16" i="9" a="1"/>
  <c r="B16" i="9" s="1"/>
  <c r="B10" i="9" a="1"/>
  <c r="B10" i="9" s="1"/>
  <c r="B5" i="9" a="1"/>
  <c r="B5" i="9" s="1"/>
  <c r="B12" i="36" a="1"/>
  <c r="B12" i="36" s="1"/>
  <c r="B4" i="36" a="1"/>
  <c r="B4" i="36" s="1"/>
  <c r="A16" i="35" a="1"/>
  <c r="A16" i="35" s="1"/>
  <c r="B11" i="35" a="1"/>
  <c r="B11" i="35" s="1"/>
  <c r="D4" i="32"/>
  <c r="B2" i="8" a="1"/>
  <c r="B2" i="8" s="1"/>
  <c r="B10" i="34" a="1"/>
  <c r="B10" i="34" s="1"/>
  <c r="B17" i="8" a="1"/>
  <c r="B17" i="8" s="1"/>
  <c r="B11" i="8" a="1"/>
  <c r="B11" i="8" s="1"/>
  <c r="A13" i="31" a="1"/>
  <c r="A13" i="31" s="1"/>
  <c r="E13" i="31" s="1"/>
  <c r="A9" i="31" a="1"/>
  <c r="A9" i="31" s="1"/>
  <c r="E9" i="31" s="1"/>
  <c r="A5" i="31" a="1"/>
  <c r="A5" i="31" s="1"/>
  <c r="E5" i="31" s="1"/>
  <c r="A12" i="32" a="1"/>
  <c r="A12" i="32" s="1"/>
  <c r="D12" i="32" s="1"/>
  <c r="B7" i="32" a="1"/>
  <c r="B7" i="32" s="1"/>
  <c r="B3" i="32" a="1"/>
  <c r="B3" i="32" s="1"/>
  <c r="B15" i="33" a="1"/>
  <c r="B15" i="33" s="1"/>
  <c r="B5" i="33" a="1"/>
  <c r="B5" i="33" s="1"/>
  <c r="A16" i="9" a="1"/>
  <c r="A16" i="9" s="1"/>
  <c r="A16" i="36" a="1"/>
  <c r="A16" i="36" s="1"/>
  <c r="A12" i="36" a="1"/>
  <c r="A12" i="36" s="1"/>
  <c r="B15" i="35" a="1"/>
  <c r="B15" i="35" s="1"/>
  <c r="A6" i="35" a="1"/>
  <c r="A6" i="35" s="1"/>
  <c r="C4" i="32"/>
  <c r="A6" i="8" a="1"/>
  <c r="A6" i="8" s="1"/>
  <c r="C6" i="8" s="1"/>
  <c r="B16" i="31" a="1"/>
  <c r="B16" i="31" s="1"/>
  <c r="A16" i="32" a="1"/>
  <c r="A16" i="32" s="1"/>
  <c r="F16" i="32" s="1"/>
  <c r="B11" i="32" a="1"/>
  <c r="B11" i="32" s="1"/>
  <c r="A3" i="32" a="1"/>
  <c r="A3" i="32" s="1"/>
  <c r="F3" i="32" s="1"/>
  <c r="B9" i="33" a="1"/>
  <c r="B9" i="33" s="1"/>
  <c r="B15" i="9" a="1"/>
  <c r="B15" i="9" s="1"/>
  <c r="B9" i="9" a="1"/>
  <c r="B9" i="9" s="1"/>
  <c r="A5" i="9" a="1"/>
  <c r="A5" i="9" s="1"/>
  <c r="B11" i="36" a="1"/>
  <c r="B11" i="36" s="1"/>
  <c r="B10" i="35" a="1"/>
  <c r="B10" i="35" s="1"/>
  <c r="A2" i="35" a="1"/>
  <c r="A2" i="35" s="1"/>
  <c r="A14" i="34" a="1"/>
  <c r="A14" i="34" s="1"/>
  <c r="A6" i="34" a="1"/>
  <c r="A6" i="34" s="1"/>
  <c r="F6" i="34" s="1"/>
  <c r="B16" i="8" a="1"/>
  <c r="B16" i="8" s="1"/>
  <c r="B5" i="8" a="1"/>
  <c r="B5" i="8" s="1"/>
  <c r="B12" i="31" a="1"/>
  <c r="B12" i="31" s="1"/>
  <c r="B4" i="31" a="1"/>
  <c r="B4" i="31" s="1"/>
  <c r="B15" i="32" a="1"/>
  <c r="B15" i="32" s="1"/>
  <c r="A7" i="32" a="1"/>
  <c r="A7" i="32" s="1"/>
  <c r="E7" i="32" s="1"/>
  <c r="A9" i="33" a="1"/>
  <c r="A9" i="33" s="1"/>
  <c r="C9" i="33" s="1"/>
  <c r="A5" i="33" a="1"/>
  <c r="A5" i="33" s="1"/>
  <c r="F5" i="33" s="1"/>
  <c r="B4" i="9" a="1"/>
  <c r="B4" i="9" s="1"/>
  <c r="B15" i="36" a="1"/>
  <c r="B15" i="36" s="1"/>
  <c r="B7" i="36" a="1"/>
  <c r="B7" i="36" s="1"/>
  <c r="B3" i="36" a="1"/>
  <c r="B3" i="36" s="1"/>
  <c r="B5" i="35" a="1"/>
  <c r="B5" i="35" s="1"/>
  <c r="F4" i="32"/>
  <c r="A2" i="31" a="1"/>
  <c r="A2" i="31" s="1"/>
  <c r="C2" i="31" s="1"/>
  <c r="B17" i="34" a="1"/>
  <c r="B17" i="34" s="1"/>
  <c r="B9" i="34" a="1"/>
  <c r="B9" i="34" s="1"/>
  <c r="B5" i="34" a="1"/>
  <c r="B5" i="34" s="1"/>
  <c r="A16" i="8" a="1"/>
  <c r="A16" i="8" s="1"/>
  <c r="B10" i="8" a="1"/>
  <c r="B10" i="8" s="1"/>
  <c r="A5" i="8" a="1"/>
  <c r="A5" i="8" s="1"/>
  <c r="F5" i="8" s="1"/>
  <c r="A16" i="31" a="1"/>
  <c r="A16" i="31" s="1"/>
  <c r="C16" i="31" s="1"/>
  <c r="A2" i="33" a="1"/>
  <c r="A2" i="33" s="1"/>
  <c r="D2" i="33" s="1"/>
  <c r="A14" i="33" a="1"/>
  <c r="A14" i="33" s="1"/>
  <c r="C14" i="33" s="1"/>
  <c r="B4" i="33" a="1"/>
  <c r="B4" i="33" s="1"/>
  <c r="A9" i="9" a="1"/>
  <c r="A9" i="9" s="1"/>
  <c r="A7" i="36" a="1"/>
  <c r="A7" i="36" s="1"/>
  <c r="A3" i="36" a="1"/>
  <c r="A3" i="36" s="1"/>
  <c r="A14" i="35" a="1"/>
  <c r="A14" i="35" s="1"/>
  <c r="A5" i="35" a="1"/>
  <c r="A5" i="35" s="1"/>
  <c r="A2" i="32" a="1"/>
  <c r="A2" i="32" s="1"/>
  <c r="B15" i="8" a="1"/>
  <c r="B15" i="8" s="1"/>
  <c r="B4" i="8" a="1"/>
  <c r="B4" i="8" s="1"/>
  <c r="A12" i="31" a="1"/>
  <c r="A12" i="31" s="1"/>
  <c r="E12" i="31" s="1"/>
  <c r="B10" i="32" a="1"/>
  <c r="B10" i="32" s="1"/>
  <c r="A6" i="32" a="1"/>
  <c r="A6" i="32" s="1"/>
  <c r="E6" i="32" s="1"/>
  <c r="A14" i="9" a="1"/>
  <c r="A14" i="9" s="1"/>
  <c r="B3" i="9" a="1"/>
  <c r="B3" i="9" s="1"/>
  <c r="A2" i="36" a="1"/>
  <c r="A2" i="36" s="1"/>
  <c r="B10" i="36" a="1"/>
  <c r="B10" i="36" s="1"/>
  <c r="B2" i="35" a="1"/>
  <c r="B2" i="35" s="1"/>
  <c r="B9" i="35" a="1"/>
  <c r="B9" i="35" s="1"/>
  <c r="A13" i="34" a="1"/>
  <c r="A13" i="34" s="1"/>
  <c r="D13" i="34" s="1"/>
  <c r="A9" i="34" a="1"/>
  <c r="A9" i="34" s="1"/>
  <c r="D9" i="34" s="1"/>
  <c r="A5" i="34" a="1"/>
  <c r="A5" i="34" s="1"/>
  <c r="C5" i="34" s="1"/>
  <c r="B9" i="8" a="1"/>
  <c r="B9" i="8" s="1"/>
  <c r="B15" i="31" a="1"/>
  <c r="B15" i="31" s="1"/>
  <c r="B2" i="33" a="1"/>
  <c r="B2" i="33" s="1"/>
  <c r="A13" i="33" a="1"/>
  <c r="A13" i="33" s="1"/>
  <c r="E13" i="33" s="1"/>
  <c r="B7" i="33" a="1"/>
  <c r="B7" i="33" s="1"/>
  <c r="B3" i="33" a="1"/>
  <c r="B3" i="33" s="1"/>
  <c r="B2" i="36" a="1"/>
  <c r="B2" i="36" s="1"/>
  <c r="A9" i="35" a="1"/>
  <c r="A9" i="35" s="1"/>
  <c r="B4" i="35" a="1"/>
  <c r="B4" i="35" s="1"/>
  <c r="E10" i="32"/>
  <c r="A2" i="34" a="1"/>
  <c r="A2" i="34" s="1"/>
  <c r="F2" i="34" s="1"/>
  <c r="B16" i="34" a="1"/>
  <c r="B16" i="34" s="1"/>
  <c r="B12" i="34" a="1"/>
  <c r="B12" i="34" s="1"/>
  <c r="B4" i="34" a="1"/>
  <c r="B4" i="34" s="1"/>
  <c r="A9" i="8" a="1"/>
  <c r="A9" i="8" s="1"/>
  <c r="C9" i="8" s="1"/>
  <c r="B3" i="8" a="1"/>
  <c r="B3" i="8" s="1"/>
  <c r="B11" i="31" a="1"/>
  <c r="B11" i="31" s="1"/>
  <c r="B7" i="31" a="1"/>
  <c r="B7" i="31" s="1"/>
  <c r="B3" i="31" a="1"/>
  <c r="B3" i="31" s="1"/>
  <c r="A14" i="32" a="1"/>
  <c r="A14" i="32" s="1"/>
  <c r="C14" i="32" s="1"/>
  <c r="B5" i="32" a="1"/>
  <c r="B5" i="32" s="1"/>
  <c r="B2" i="9" a="1"/>
  <c r="B2" i="9" s="1"/>
  <c r="B12" i="33" a="1"/>
  <c r="B12" i="33" s="1"/>
  <c r="A7" i="33" a="1"/>
  <c r="A7" i="33" s="1"/>
  <c r="E7" i="33" s="1"/>
  <c r="A3" i="33" a="1"/>
  <c r="A3" i="33" s="1"/>
  <c r="D3" i="33" s="1"/>
  <c r="A13" i="9" a="1"/>
  <c r="A13" i="9" s="1"/>
  <c r="B7" i="9" a="1"/>
  <c r="B7" i="9" s="1"/>
  <c r="A3" i="9" a="1"/>
  <c r="A3" i="9" s="1"/>
  <c r="B17" i="36" a="1"/>
  <c r="B17" i="36" s="1"/>
  <c r="A6" i="36" a="1"/>
  <c r="A6" i="36" s="1"/>
  <c r="B17" i="35" a="1"/>
  <c r="B17" i="35" s="1"/>
  <c r="A13" i="35" a="1"/>
  <c r="A13" i="35" s="1"/>
  <c r="E4" i="32"/>
  <c r="B2" i="34" a="1"/>
  <c r="B2" i="34" s="1"/>
  <c r="A14" i="8" a="1"/>
  <c r="A14" i="8" s="1"/>
  <c r="C14" i="8" s="1"/>
  <c r="A7" i="31" a="1"/>
  <c r="A7" i="31" s="1"/>
  <c r="E7" i="31" s="1"/>
  <c r="A3" i="31" a="1"/>
  <c r="A3" i="31" s="1"/>
  <c r="E3" i="31" s="1"/>
  <c r="B9" i="32" a="1"/>
  <c r="B9" i="32" s="1"/>
  <c r="A5" i="32" a="1"/>
  <c r="A5" i="32" s="1"/>
  <c r="D5" i="32" s="1"/>
  <c r="B17" i="33" a="1"/>
  <c r="B17" i="33" s="1"/>
  <c r="A12" i="33" a="1"/>
  <c r="A12" i="33" s="1"/>
  <c r="E12" i="33" s="1"/>
  <c r="B12" i="9" a="1"/>
  <c r="B12" i="9" s="1"/>
  <c r="A14" i="36" a="1"/>
  <c r="A14" i="36" s="1"/>
  <c r="D10" i="32"/>
  <c r="C6" i="33"/>
  <c r="A12" i="34" a="1"/>
  <c r="A12" i="34" s="1"/>
  <c r="C12" i="34" s="1"/>
  <c r="A3" i="8" a="1"/>
  <c r="A3" i="8" s="1"/>
  <c r="F3" i="8" s="1"/>
  <c r="A9" i="32" a="1"/>
  <c r="A9" i="32" s="1"/>
  <c r="C9" i="32" s="1"/>
  <c r="B11" i="33" a="1"/>
  <c r="B11" i="33" s="1"/>
  <c r="A12" i="9" a="1"/>
  <c r="A12" i="9" s="1"/>
  <c r="B3" i="35" a="1"/>
  <c r="B3" i="35" s="1"/>
  <c r="B11" i="34" a="1"/>
  <c r="B11" i="34" s="1"/>
  <c r="B7" i="34" a="1"/>
  <c r="B7" i="34" s="1"/>
  <c r="A13" i="8" a="1"/>
  <c r="A13" i="8" s="1"/>
  <c r="E13" i="8" s="1"/>
  <c r="B7" i="8" a="1"/>
  <c r="B7" i="8" s="1"/>
  <c r="B17" i="31" a="1"/>
  <c r="B17" i="31" s="1"/>
  <c r="B17" i="32" a="1"/>
  <c r="B17" i="32" s="1"/>
  <c r="A13" i="32" a="1"/>
  <c r="A13" i="32" s="1"/>
  <c r="D13" i="32" s="1"/>
  <c r="B16" i="35" a="1"/>
  <c r="B16" i="35" s="1"/>
  <c r="D17" i="8"/>
  <c r="D11" i="8"/>
  <c r="F11" i="8"/>
  <c r="F8" i="34"/>
  <c r="E11" i="34"/>
  <c r="D14" i="34"/>
  <c r="F6" i="33"/>
  <c r="E12" i="32"/>
  <c r="F17" i="31"/>
  <c r="C4" i="31"/>
  <c r="C11" i="8"/>
  <c r="D16" i="33"/>
  <c r="E16" i="33"/>
  <c r="C10" i="33"/>
  <c r="D10" i="33"/>
  <c r="E10" i="33"/>
  <c r="F10" i="33"/>
  <c r="D15" i="33"/>
  <c r="E15" i="33"/>
  <c r="F15" i="33"/>
  <c r="E9" i="33"/>
  <c r="F9" i="33"/>
  <c r="D14" i="33"/>
  <c r="E8" i="33"/>
  <c r="F8" i="33"/>
  <c r="C8" i="33"/>
  <c r="D8" i="33"/>
  <c r="C13" i="33"/>
  <c r="D13" i="33"/>
  <c r="C4" i="33"/>
  <c r="D4" i="33"/>
  <c r="E4" i="33"/>
  <c r="F4" i="33"/>
  <c r="D6" i="33"/>
  <c r="F17" i="33"/>
  <c r="E17" i="33"/>
  <c r="D17" i="33"/>
  <c r="E2" i="33"/>
  <c r="F2" i="33"/>
  <c r="C15" i="31"/>
  <c r="D15" i="31"/>
  <c r="E15" i="31"/>
  <c r="F15" i="31"/>
  <c r="F14" i="31"/>
  <c r="C14" i="31"/>
  <c r="D14" i="31"/>
  <c r="E14" i="31"/>
  <c r="C11" i="31"/>
  <c r="D11" i="31"/>
  <c r="E11" i="31"/>
  <c r="F11" i="31"/>
  <c r="F10" i="31"/>
  <c r="C10" i="31"/>
  <c r="D10" i="31"/>
  <c r="E10" i="31"/>
  <c r="C6" i="31"/>
  <c r="F6" i="31"/>
  <c r="D6" i="31"/>
  <c r="E6" i="31"/>
  <c r="C3" i="31"/>
  <c r="D9" i="31"/>
  <c r="F16" i="31"/>
  <c r="F4" i="31"/>
  <c r="E16" i="31"/>
  <c r="E4" i="31"/>
  <c r="D16" i="31"/>
  <c r="D4" i="31"/>
  <c r="C16" i="8"/>
  <c r="D16" i="8"/>
  <c r="E16" i="8"/>
  <c r="F16" i="8"/>
  <c r="D8" i="8"/>
  <c r="C8" i="8"/>
  <c r="E8" i="8"/>
  <c r="F8" i="8"/>
  <c r="D4" i="8"/>
  <c r="C4" i="8"/>
  <c r="E4" i="8"/>
  <c r="F4" i="8"/>
  <c r="C10" i="8"/>
  <c r="D10" i="8"/>
  <c r="E10" i="8"/>
  <c r="F10" i="8"/>
  <c r="C17" i="8"/>
  <c r="E15" i="8"/>
  <c r="E11" i="8"/>
  <c r="F17" i="8"/>
  <c r="F17" i="34"/>
  <c r="F5" i="34"/>
  <c r="E8" i="34"/>
  <c r="D11" i="34"/>
  <c r="C14" i="34"/>
  <c r="F14" i="34"/>
  <c r="E17" i="34"/>
  <c r="E5" i="34"/>
  <c r="C11" i="34"/>
  <c r="E16" i="34"/>
  <c r="E4" i="34"/>
  <c r="D7" i="34"/>
  <c r="F11" i="34"/>
  <c r="E14" i="34"/>
  <c r="D17" i="34"/>
  <c r="D5" i="34"/>
  <c r="C8" i="34"/>
  <c r="D15" i="34"/>
  <c r="C6" i="34"/>
  <c r="E7" i="8" l="1"/>
  <c r="D3" i="31"/>
  <c r="C15" i="8"/>
  <c r="C7" i="8"/>
  <c r="D17" i="31"/>
  <c r="F13" i="33"/>
  <c r="G13" i="33" s="1"/>
  <c r="E17" i="31"/>
  <c r="D13" i="31"/>
  <c r="F8" i="32"/>
  <c r="F2" i="31"/>
  <c r="F12" i="8"/>
  <c r="E13" i="32"/>
  <c r="D12" i="8"/>
  <c r="F11" i="32"/>
  <c r="D2" i="31"/>
  <c r="D9" i="8"/>
  <c r="C3" i="32"/>
  <c r="F14" i="33"/>
  <c r="D7" i="32"/>
  <c r="E6" i="8"/>
  <c r="E8" i="31"/>
  <c r="E14" i="33"/>
  <c r="F15" i="32"/>
  <c r="E16" i="32"/>
  <c r="E12" i="34"/>
  <c r="F14" i="8"/>
  <c r="E14" i="8"/>
  <c r="F12" i="32"/>
  <c r="E15" i="32"/>
  <c r="D7" i="31"/>
  <c r="F13" i="34"/>
  <c r="E3" i="8"/>
  <c r="E12" i="8"/>
  <c r="F3" i="33"/>
  <c r="C5" i="33"/>
  <c r="C12" i="32"/>
  <c r="C3" i="33"/>
  <c r="C8" i="31"/>
  <c r="D5" i="31"/>
  <c r="D12" i="33"/>
  <c r="C7" i="34"/>
  <c r="F5" i="31"/>
  <c r="F6" i="8"/>
  <c r="C2" i="33"/>
  <c r="G2" i="33" s="1"/>
  <c r="F16" i="33"/>
  <c r="G16" i="33" s="1"/>
  <c r="C10" i="32"/>
  <c r="G10" i="32" s="1"/>
  <c r="C5" i="31"/>
  <c r="D11" i="32"/>
  <c r="E13" i="34"/>
  <c r="D6" i="8"/>
  <c r="C10" i="34"/>
  <c r="E5" i="33"/>
  <c r="E11" i="32"/>
  <c r="E2" i="34"/>
  <c r="E7" i="34"/>
  <c r="D14" i="32"/>
  <c r="D3" i="32"/>
  <c r="E2" i="8"/>
  <c r="C6" i="32"/>
  <c r="C15" i="32"/>
  <c r="G16" i="34"/>
  <c r="E16" i="35" s="1"/>
  <c r="F9" i="8"/>
  <c r="D8" i="31"/>
  <c r="E9" i="8"/>
  <c r="D6" i="32"/>
  <c r="D5" i="33"/>
  <c r="D15" i="8"/>
  <c r="G15" i="8" s="1"/>
  <c r="C15" i="9" s="1"/>
  <c r="E17" i="32"/>
  <c r="C9" i="31"/>
  <c r="F7" i="32"/>
  <c r="D14" i="8"/>
  <c r="D9" i="33"/>
  <c r="G9" i="33" s="1"/>
  <c r="C13" i="34"/>
  <c r="F9" i="32"/>
  <c r="E3" i="32"/>
  <c r="C13" i="32"/>
  <c r="F6" i="32"/>
  <c r="C7" i="31"/>
  <c r="C12" i="31"/>
  <c r="C16" i="32"/>
  <c r="D2" i="8"/>
  <c r="G17" i="31"/>
  <c r="D17" i="9" s="1"/>
  <c r="G4" i="32"/>
  <c r="C4" i="36" s="1"/>
  <c r="C8" i="32"/>
  <c r="F11" i="33"/>
  <c r="F17" i="32"/>
  <c r="C2" i="34"/>
  <c r="F14" i="32"/>
  <c r="C3" i="8"/>
  <c r="F5" i="32"/>
  <c r="D3" i="8"/>
  <c r="C11" i="33"/>
  <c r="C5" i="32"/>
  <c r="D17" i="32"/>
  <c r="F7" i="31"/>
  <c r="D11" i="33"/>
  <c r="F7" i="8"/>
  <c r="G7" i="8" s="1"/>
  <c r="C7" i="9" s="1"/>
  <c r="E3" i="34"/>
  <c r="F3" i="34"/>
  <c r="F13" i="8"/>
  <c r="F12" i="31"/>
  <c r="E3" i="33"/>
  <c r="D16" i="32"/>
  <c r="F13" i="31"/>
  <c r="C13" i="31"/>
  <c r="E15" i="34"/>
  <c r="F15" i="34"/>
  <c r="F9" i="34"/>
  <c r="E6" i="34"/>
  <c r="D6" i="34"/>
  <c r="C2" i="8"/>
  <c r="C3" i="34"/>
  <c r="D12" i="31"/>
  <c r="C12" i="33"/>
  <c r="F9" i="31"/>
  <c r="E14" i="32"/>
  <c r="C15" i="34"/>
  <c r="D9" i="32"/>
  <c r="E9" i="32"/>
  <c r="E5" i="32"/>
  <c r="D2" i="34"/>
  <c r="C9" i="34"/>
  <c r="C7" i="32"/>
  <c r="F3" i="31"/>
  <c r="G3" i="31" s="1"/>
  <c r="D3" i="9" s="1"/>
  <c r="F12" i="33"/>
  <c r="D13" i="8"/>
  <c r="D8" i="32"/>
  <c r="F10" i="34"/>
  <c r="D10" i="34"/>
  <c r="C5" i="8"/>
  <c r="E5" i="8"/>
  <c r="F13" i="32"/>
  <c r="D5" i="8"/>
  <c r="D12" i="34"/>
  <c r="F12" i="34"/>
  <c r="F7" i="33"/>
  <c r="C13" i="8"/>
  <c r="D7" i="33"/>
  <c r="C7" i="33"/>
  <c r="E9" i="34"/>
  <c r="D3" i="34"/>
  <c r="C2" i="32"/>
  <c r="D2" i="32"/>
  <c r="E2" i="32"/>
  <c r="F4" i="34"/>
  <c r="C4" i="34"/>
  <c r="G14" i="34"/>
  <c r="G17" i="34"/>
  <c r="G5" i="34"/>
  <c r="G11" i="34"/>
  <c r="G6" i="33"/>
  <c r="G17" i="33"/>
  <c r="G15" i="33"/>
  <c r="G16" i="31"/>
  <c r="D16" i="9" s="1"/>
  <c r="G4" i="31"/>
  <c r="D4" i="9" s="1"/>
  <c r="G17" i="8"/>
  <c r="C17" i="9" s="1"/>
  <c r="G11" i="8"/>
  <c r="G4" i="33"/>
  <c r="G10" i="33"/>
  <c r="G8" i="33"/>
  <c r="G11" i="31"/>
  <c r="G14" i="31"/>
  <c r="G10" i="31"/>
  <c r="G6" i="31"/>
  <c r="D6" i="9" s="1"/>
  <c r="G15" i="31"/>
  <c r="D15" i="9" s="1"/>
  <c r="G10" i="8"/>
  <c r="G8" i="8"/>
  <c r="C8" i="9" s="1"/>
  <c r="G4" i="8"/>
  <c r="C4" i="9" s="1"/>
  <c r="G16" i="8"/>
  <c r="C16" i="9" s="1"/>
  <c r="G8" i="34"/>
  <c r="G12" i="8" l="1"/>
  <c r="G11" i="32"/>
  <c r="G7" i="34"/>
  <c r="G15" i="32"/>
  <c r="C15" i="36" s="1"/>
  <c r="G6" i="8"/>
  <c r="C6" i="9" s="1"/>
  <c r="G12" i="32"/>
  <c r="G14" i="8"/>
  <c r="G14" i="33"/>
  <c r="G8" i="31"/>
  <c r="D8" i="9" s="1"/>
  <c r="E8" i="9" s="1"/>
  <c r="C8" i="35" s="1"/>
  <c r="G5" i="31"/>
  <c r="D5" i="9" s="1"/>
  <c r="G3" i="33"/>
  <c r="D3" i="36" s="1"/>
  <c r="G5" i="33"/>
  <c r="D5" i="36" s="1"/>
  <c r="G13" i="34"/>
  <c r="G13" i="8"/>
  <c r="G3" i="32"/>
  <c r="C3" i="36" s="1"/>
  <c r="G13" i="32"/>
  <c r="C13" i="36" s="1"/>
  <c r="G3" i="8"/>
  <c r="C3" i="9" s="1"/>
  <c r="E3" i="9" s="1"/>
  <c r="G7" i="32"/>
  <c r="C7" i="36" s="1"/>
  <c r="G6" i="34"/>
  <c r="E6" i="35" s="1"/>
  <c r="G9" i="8"/>
  <c r="C9" i="9" s="1"/>
  <c r="G11" i="33"/>
  <c r="D11" i="36" s="1"/>
  <c r="G10" i="34"/>
  <c r="G9" i="31"/>
  <c r="D9" i="9" s="1"/>
  <c r="G8" i="32"/>
  <c r="C8" i="36" s="1"/>
  <c r="G6" i="32"/>
  <c r="C6" i="36" s="1"/>
  <c r="G13" i="31"/>
  <c r="G16" i="32"/>
  <c r="C16" i="36" s="1"/>
  <c r="G12" i="31"/>
  <c r="D12" i="9" s="1"/>
  <c r="G9" i="34"/>
  <c r="E9" i="35" s="1"/>
  <c r="G17" i="32"/>
  <c r="C17" i="36" s="1"/>
  <c r="G7" i="33"/>
  <c r="G5" i="32"/>
  <c r="C5" i="36" s="1"/>
  <c r="G7" i="31"/>
  <c r="D7" i="9" s="1"/>
  <c r="E7" i="9" s="1"/>
  <c r="E17" i="9"/>
  <c r="C17" i="35" s="1"/>
  <c r="G12" i="34"/>
  <c r="E12" i="35" s="1"/>
  <c r="G2" i="8"/>
  <c r="G3" i="34"/>
  <c r="G2" i="34"/>
  <c r="G5" i="8"/>
  <c r="C5" i="9" s="1"/>
  <c r="G15" i="34"/>
  <c r="G4" i="34"/>
  <c r="E4" i="35" s="1"/>
  <c r="G14" i="32"/>
  <c r="G12" i="33"/>
  <c r="E11" i="35"/>
  <c r="D17" i="36"/>
  <c r="D4" i="36"/>
  <c r="E4" i="36" s="1"/>
  <c r="D6" i="36"/>
  <c r="D2" i="36"/>
  <c r="G2" i="32"/>
  <c r="E5" i="35"/>
  <c r="D9" i="36"/>
  <c r="E8" i="35"/>
  <c r="C14" i="36"/>
  <c r="C11" i="36"/>
  <c r="C10" i="36"/>
  <c r="C12" i="36"/>
  <c r="E7" i="35"/>
  <c r="D8" i="36"/>
  <c r="E17" i="35"/>
  <c r="G9" i="32"/>
  <c r="D15" i="36"/>
  <c r="D16" i="36"/>
  <c r="D14" i="36"/>
  <c r="D13" i="36"/>
  <c r="D10" i="36"/>
  <c r="E16" i="9"/>
  <c r="E4" i="9"/>
  <c r="E6" i="9"/>
  <c r="E15" i="9"/>
  <c r="D10" i="9"/>
  <c r="D11" i="9"/>
  <c r="D13" i="9"/>
  <c r="D14" i="9"/>
  <c r="C12" i="9"/>
  <c r="C13" i="9"/>
  <c r="C10" i="9"/>
  <c r="C11" i="9"/>
  <c r="C14" i="9"/>
  <c r="E15" i="36" l="1"/>
  <c r="E5" i="9"/>
  <c r="C5" i="35" s="1"/>
  <c r="E3" i="36"/>
  <c r="H11" i="8"/>
  <c r="H12" i="33"/>
  <c r="E13" i="35"/>
  <c r="H14" i="8"/>
  <c r="H7" i="8"/>
  <c r="C2" i="9"/>
  <c r="H8" i="8"/>
  <c r="E17" i="36"/>
  <c r="D17" i="35" s="1"/>
  <c r="F17" i="35" s="1"/>
  <c r="E16" i="36"/>
  <c r="D16" i="35" s="1"/>
  <c r="E9" i="9"/>
  <c r="C9" i="35" s="1"/>
  <c r="E10" i="36"/>
  <c r="D10" i="35" s="1"/>
  <c r="E8" i="36"/>
  <c r="D8" i="35" s="1"/>
  <c r="F8" i="35" s="1"/>
  <c r="E14" i="35"/>
  <c r="H9" i="8"/>
  <c r="E10" i="35"/>
  <c r="H6" i="8"/>
  <c r="D12" i="36"/>
  <c r="E12" i="36" s="1"/>
  <c r="D12" i="35" s="1"/>
  <c r="E6" i="36"/>
  <c r="D6" i="35" s="1"/>
  <c r="H14" i="33"/>
  <c r="H16" i="33"/>
  <c r="H3" i="33"/>
  <c r="H7" i="32"/>
  <c r="H13" i="33"/>
  <c r="H13" i="8"/>
  <c r="H4" i="34"/>
  <c r="H15" i="34"/>
  <c r="H7" i="34"/>
  <c r="H9" i="33"/>
  <c r="H6" i="33"/>
  <c r="H4" i="33"/>
  <c r="H5" i="34"/>
  <c r="H16" i="32"/>
  <c r="H2" i="8"/>
  <c r="H9" i="34"/>
  <c r="E2" i="35"/>
  <c r="H8" i="32"/>
  <c r="H15" i="33"/>
  <c r="H17" i="33"/>
  <c r="E15" i="35"/>
  <c r="H2" i="33"/>
  <c r="H5" i="33"/>
  <c r="H11" i="33"/>
  <c r="H7" i="33"/>
  <c r="H8" i="33"/>
  <c r="D7" i="36"/>
  <c r="E7" i="36" s="1"/>
  <c r="D7" i="35" s="1"/>
  <c r="H10" i="33"/>
  <c r="H4" i="8"/>
  <c r="H15" i="8"/>
  <c r="H17" i="8"/>
  <c r="H16" i="34"/>
  <c r="H3" i="34"/>
  <c r="H3" i="8"/>
  <c r="H5" i="8"/>
  <c r="H17" i="34"/>
  <c r="E3" i="35"/>
  <c r="H6" i="34"/>
  <c r="H13" i="34"/>
  <c r="H12" i="8"/>
  <c r="H14" i="34"/>
  <c r="H2" i="34"/>
  <c r="H10" i="8"/>
  <c r="H8" i="34"/>
  <c r="H11" i="34"/>
  <c r="H10" i="34"/>
  <c r="H12" i="34"/>
  <c r="H16" i="8"/>
  <c r="D4" i="35"/>
  <c r="D15" i="35"/>
  <c r="H9" i="32"/>
  <c r="C9" i="36"/>
  <c r="E9" i="36" s="1"/>
  <c r="H12" i="32"/>
  <c r="E11" i="36"/>
  <c r="D11" i="35" s="1"/>
  <c r="H10" i="32"/>
  <c r="H13" i="32"/>
  <c r="E13" i="36"/>
  <c r="D13" i="35" s="1"/>
  <c r="C2" i="36"/>
  <c r="E2" i="36" s="1"/>
  <c r="H2" i="32"/>
  <c r="H3" i="32"/>
  <c r="H6" i="32"/>
  <c r="H4" i="32"/>
  <c r="H15" i="32"/>
  <c r="H11" i="32"/>
  <c r="H17" i="32"/>
  <c r="H5" i="32"/>
  <c r="E14" i="36"/>
  <c r="D14" i="35" s="1"/>
  <c r="D3" i="35"/>
  <c r="H14" i="32"/>
  <c r="E5" i="36"/>
  <c r="C6" i="35"/>
  <c r="C4" i="35"/>
  <c r="C16" i="35"/>
  <c r="C7" i="35"/>
  <c r="C3" i="35"/>
  <c r="C15" i="35"/>
  <c r="E12" i="9"/>
  <c r="E13" i="9"/>
  <c r="E14" i="9"/>
  <c r="E11" i="9"/>
  <c r="E10" i="9"/>
  <c r="C14" i="35" l="1"/>
  <c r="F14" i="35" s="1"/>
  <c r="J2" i="33" a="1"/>
  <c r="J2" i="33" s="1"/>
  <c r="F3" i="35"/>
  <c r="F7" i="35"/>
  <c r="J2" i="8" a="1"/>
  <c r="J2" i="8" s="1"/>
  <c r="F16" i="35"/>
  <c r="J2" i="34" a="1"/>
  <c r="J2" i="34" s="1"/>
  <c r="E2" i="31"/>
  <c r="G2" i="31" s="1"/>
  <c r="H4" i="31" s="1"/>
  <c r="F6" i="35"/>
  <c r="F4" i="36"/>
  <c r="D9" i="35"/>
  <c r="F9" i="35" s="1"/>
  <c r="F9" i="36"/>
  <c r="F17" i="36"/>
  <c r="D2" i="35"/>
  <c r="F2" i="36"/>
  <c r="F3" i="36"/>
  <c r="F11" i="36"/>
  <c r="F7" i="36"/>
  <c r="J2" i="32" a="1"/>
  <c r="J2" i="32" s="1"/>
  <c r="C11" i="35"/>
  <c r="F11" i="35" s="1"/>
  <c r="F15" i="35"/>
  <c r="F8" i="36"/>
  <c r="C12" i="35"/>
  <c r="F12" i="35" s="1"/>
  <c r="F13" i="36"/>
  <c r="F6" i="36"/>
  <c r="D5" i="35"/>
  <c r="F5" i="35" s="1"/>
  <c r="F5" i="36"/>
  <c r="F14" i="36"/>
  <c r="F4" i="35"/>
  <c r="F10" i="36"/>
  <c r="F16" i="36"/>
  <c r="F12" i="36"/>
  <c r="F15" i="36"/>
  <c r="C10" i="35"/>
  <c r="F10" i="35" s="1"/>
  <c r="C13" i="35"/>
  <c r="F13" i="35" s="1"/>
  <c r="H9" i="31" l="1"/>
  <c r="H2" i="31"/>
  <c r="H7" i="31"/>
  <c r="D2" i="9"/>
  <c r="E2" i="9" s="1"/>
  <c r="F17" i="9" s="1"/>
  <c r="H14" i="31"/>
  <c r="H12" i="31"/>
  <c r="H3" i="31"/>
  <c r="H15" i="31"/>
  <c r="H5" i="31"/>
  <c r="H11" i="31"/>
  <c r="H16" i="31"/>
  <c r="H17" i="31"/>
  <c r="H6" i="31"/>
  <c r="H8" i="31"/>
  <c r="H10" i="31"/>
  <c r="H13" i="31"/>
  <c r="H2" i="36" a="1"/>
  <c r="H2" i="36" s="1"/>
  <c r="F11" i="9" l="1"/>
  <c r="C2" i="35"/>
  <c r="F2" i="35" s="1"/>
  <c r="G5" i="35" s="1"/>
  <c r="F3" i="9"/>
  <c r="F6" i="9"/>
  <c r="F15" i="9"/>
  <c r="F7" i="9"/>
  <c r="F5" i="9"/>
  <c r="F8" i="9"/>
  <c r="F14" i="9"/>
  <c r="F10" i="9"/>
  <c r="F13" i="9"/>
  <c r="F2" i="9"/>
  <c r="F12" i="9"/>
  <c r="F4" i="9"/>
  <c r="J2" i="31" a="1"/>
  <c r="J2" i="31" s="1"/>
  <c r="F16" i="9"/>
  <c r="F9" i="9"/>
  <c r="G11" i="35"/>
  <c r="G16" i="35"/>
  <c r="G14" i="35"/>
  <c r="G3" i="35"/>
  <c r="G12" i="35"/>
  <c r="G2" i="35"/>
  <c r="G10" i="35" l="1"/>
  <c r="G9" i="35"/>
  <c r="G15" i="35"/>
  <c r="G17" i="35"/>
  <c r="G8" i="35"/>
  <c r="G6" i="35"/>
  <c r="G13" i="35"/>
  <c r="G7" i="35"/>
  <c r="G4" i="35"/>
  <c r="H2" i="9" a="1"/>
  <c r="H2" i="9" s="1"/>
  <c r="I2" i="35" a="1"/>
  <c r="I2" i="3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<sst xmlns="http://schemas.openxmlformats.org/spreadsheetml/2006/main" count="257" uniqueCount="103">
  <si>
    <t>Team Name</t>
  </si>
  <si>
    <t>Team Tag</t>
  </si>
  <si>
    <t>Player 1</t>
  </si>
  <si>
    <t>Player 2</t>
  </si>
  <si>
    <t>Player 3</t>
  </si>
  <si>
    <t>Player 4</t>
  </si>
  <si>
    <t>Flag</t>
  </si>
  <si>
    <t>Award</t>
  </si>
  <si>
    <t>AWD</t>
  </si>
  <si>
    <t>Alice</t>
  </si>
  <si>
    <t>Bob</t>
  </si>
  <si>
    <t>Carol</t>
  </si>
  <si>
    <t>Dave</t>
  </si>
  <si>
    <t>BOSS</t>
  </si>
  <si>
    <t>BOS</t>
  </si>
  <si>
    <t>Eva</t>
  </si>
  <si>
    <t>Flank</t>
  </si>
  <si>
    <t>Skilp</t>
  </si>
  <si>
    <t>Fal</t>
  </si>
  <si>
    <t>NerverDIe</t>
  </si>
  <si>
    <t>NVD</t>
  </si>
  <si>
    <t>figma</t>
  </si>
  <si>
    <t>SSa2</t>
  </si>
  <si>
    <t>TTs</t>
  </si>
  <si>
    <t>5555W</t>
  </si>
  <si>
    <t>Skibidy</t>
  </si>
  <si>
    <t>SBD</t>
  </si>
  <si>
    <t>dsa</t>
  </si>
  <si>
    <t>hgaaw</t>
  </si>
  <si>
    <t>Wsxa</t>
  </si>
  <si>
    <t>savfa</t>
  </si>
  <si>
    <t>Raddom</t>
  </si>
  <si>
    <t>RD</t>
  </si>
  <si>
    <t>opsSS</t>
  </si>
  <si>
    <t>Navaw</t>
  </si>
  <si>
    <t>XIVVV</t>
  </si>
  <si>
    <t>SaSaRaSa</t>
  </si>
  <si>
    <t>SSRS</t>
  </si>
  <si>
    <t>gagw</t>
  </si>
  <si>
    <t>dwasdw</t>
  </si>
  <si>
    <t>fgwagfwa</t>
  </si>
  <si>
    <t>wfwafwafaw</t>
  </si>
  <si>
    <t>Onpara</t>
  </si>
  <si>
    <t>OP</t>
  </si>
  <si>
    <t>sdadsa</t>
  </si>
  <si>
    <t>gaaga</t>
  </si>
  <si>
    <t>ssdsa</t>
  </si>
  <si>
    <t>acxzcw</t>
  </si>
  <si>
    <t>NoXe</t>
  </si>
  <si>
    <t>NX</t>
  </si>
  <si>
    <t>wdwad</t>
  </si>
  <si>
    <t>sdwa</t>
  </si>
  <si>
    <t>sdaw</t>
  </si>
  <si>
    <t>adsdwa</t>
  </si>
  <si>
    <t>SEEBRAZ</t>
  </si>
  <si>
    <t>SBZ</t>
  </si>
  <si>
    <t>sdawds</t>
  </si>
  <si>
    <t>adwads</t>
  </si>
  <si>
    <t>adwadsa</t>
  </si>
  <si>
    <t>rr</t>
  </si>
  <si>
    <t>RR</t>
  </si>
  <si>
    <t>wwww</t>
  </si>
  <si>
    <t>www</t>
  </si>
  <si>
    <t>sdawdsdsad</t>
  </si>
  <si>
    <t>adasdasdwads</t>
  </si>
  <si>
    <t>grjadwads</t>
  </si>
  <si>
    <t>kuyadwadsatyjk</t>
  </si>
  <si>
    <t>asfasadsd</t>
  </si>
  <si>
    <t>ASFA</t>
  </si>
  <si>
    <t>f</t>
  </si>
  <si>
    <t>adwdf</t>
  </si>
  <si>
    <t>as</t>
  </si>
  <si>
    <t>ffff</t>
  </si>
  <si>
    <t>TEAM TAG</t>
  </si>
  <si>
    <t>TEAM NAME</t>
  </si>
  <si>
    <t>PLAYER 1</t>
  </si>
  <si>
    <t>PLAYER 2</t>
  </si>
  <si>
    <t>PLAYER 3</t>
  </si>
  <si>
    <t>PLAYER 4</t>
  </si>
  <si>
    <t>TEAM ID</t>
  </si>
  <si>
    <t>RANK</t>
  </si>
  <si>
    <t>KILL</t>
  </si>
  <si>
    <t>RANK POINT</t>
  </si>
  <si>
    <t>TOTAL POINT</t>
  </si>
  <si>
    <t>M1</t>
  </si>
  <si>
    <t>M2</t>
  </si>
  <si>
    <t>M3</t>
  </si>
  <si>
    <t>TOTAL</t>
  </si>
  <si>
    <t>M4</t>
  </si>
  <si>
    <t>DAY1</t>
  </si>
  <si>
    <t>DAY2</t>
  </si>
  <si>
    <t>TOTAL WEEK</t>
  </si>
  <si>
    <t>WEEK1</t>
  </si>
  <si>
    <t>WEEK2</t>
  </si>
  <si>
    <t>FINAL</t>
  </si>
  <si>
    <t>TOTAL OVERALL</t>
  </si>
  <si>
    <t>ff</t>
  </si>
  <si>
    <t>FF</t>
  </si>
  <si>
    <t>sdfsdf</t>
  </si>
  <si>
    <t>SDF</t>
  </si>
  <si>
    <t>HHHH</t>
  </si>
  <si>
    <t>HHH</t>
  </si>
  <si>
    <t>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</si>
</sst>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b/>
      <sz val="15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6" fillId="0" borderId="2" applyNumberFormat="0" applyFill="0" applyAlignment="0" applyProtection="0"/>
  </cellStyleXfs>
  <cellXfs count="11">
    <xf numFmtId="0" fontId="0" fillId="0" borderId="0" xfId="0"/>
    <xf numFmtId="0" fontId="1" fillId="0" borderId="1" xfId="1"/>
    <xf numFmtId="0" fontId="5" fillId="0" borderId="0" xfId="0" applyFont="1" applyAlignment="1">
      <alignment horizontal="center" vertical="center" wrapText="1"/>
    </xf>
    <xf numFmtId="0" fontId="2" fillId="2" borderId="0" xfId="2" applyAlignment="1">
      <alignment horizontal="center" vertical="center" wrapText="1"/>
    </xf>
    <xf numFmtId="0" fontId="2" fillId="2" borderId="0" xfId="2"/>
    <xf numFmtId="0" fontId="4" fillId="4" borderId="0" xfId="4" applyAlignment="1">
      <alignment horizontal="center" vertical="center" wrapText="1"/>
    </xf>
    <xf numFmtId="0" fontId="4" fillId="4" borderId="0" xfId="4"/>
    <xf numFmtId="0" fontId="3" fillId="3" borderId="0" xfId="3" applyAlignment="1">
      <alignment horizontal="center" vertical="center" wrapText="1"/>
    </xf>
    <xf numFmtId="0" fontId="3" fillId="3" borderId="0" xfId="3"/>
    <xf numFmtId="0" fontId="6" fillId="0" borderId="2" xfId="5" applyAlignment="1">
      <alignment horizontal="center" vertical="center" wrapText="1"/>
    </xf>
    <xf numFmtId="0" fontId="6" fillId="5" borderId="2" xfId="5" applyFill="1" applyAlignment="1">
      <alignment horizontal="center" vertical="center" wrapText="1"/>
    </xf>
  </cellXfs>
  <cellStyles count="6">
    <cellStyle name="ดี" xfId="2" builtinId="26"/>
    <cellStyle name="ปกติ" xfId="0" builtinId="0"/>
    <cellStyle name="ปานกลาง" xfId="4" builtinId="28"/>
    <cellStyle name="แย่" xfId="3" builtinId="27"/>
    <cellStyle name="หัวเรื่อง 1" xfId="1" builtinId="16"/>
    <cellStyle name="หัวเรื่อง 2" xfId="5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player"/>
      <sheetName val="map settings"/>
      <sheetName val="TEAMLIST"/>
      <sheetName val="DAY SUMMARY W1D1"/>
      <sheetName val="DAY SUMMARY W1D2"/>
      <sheetName val="DAY SUMMARY W2D1"/>
      <sheetName val="DAY SUMMARY W2D2"/>
      <sheetName val="DAY SUMMARY FINAL"/>
      <sheetName val="WEEK SUMMARY W1"/>
      <sheetName val="WEEK SUMMARY W2"/>
      <sheetName val="OVERALL SUMMARY"/>
      <sheetName val="W1D1M1"/>
      <sheetName val="W1D1M2"/>
      <sheetName val="W1D1M3"/>
      <sheetName val="W1D1M4"/>
      <sheetName val="W1D2M1"/>
      <sheetName val="W1D2M2"/>
      <sheetName val="W1D2M3"/>
      <sheetName val="W1D2M4"/>
      <sheetName val="W2D1M1"/>
      <sheetName val="W2D1M2"/>
      <sheetName val="W2D1M3"/>
      <sheetName val="W2D1M4"/>
      <sheetName val="W2D2M1"/>
      <sheetName val="W2D2M2"/>
      <sheetName val="W2D2M3"/>
      <sheetName val="W2D2M4"/>
      <sheetName val="FinalM1"/>
      <sheetName val="FinalM2"/>
      <sheetName val="FinalM3"/>
      <sheetName val="FinalM4"/>
      <sheetName val="Sheet1"/>
    </sheetNames>
    <sheetDataSet>
      <sheetData sheetId="0" refreshError="1">
        <row r="1">
          <cell r="A1" t="str">
            <v>Team Name</v>
          </cell>
        </row>
        <row r="2">
          <cell r="B2" t="str">
            <v>AWD</v>
          </cell>
        </row>
        <row r="3">
          <cell r="B3" t="str">
            <v>BOS</v>
          </cell>
        </row>
        <row r="4">
          <cell r="B4" t="str">
            <v>NVD</v>
          </cell>
        </row>
        <row r="5">
          <cell r="B5" t="str">
            <v>SBD</v>
          </cell>
        </row>
        <row r="6">
          <cell r="B6" t="str">
            <v>RD</v>
          </cell>
        </row>
        <row r="7">
          <cell r="B7" t="str">
            <v>SSRS</v>
          </cell>
        </row>
        <row r="8">
          <cell r="B8" t="str">
            <v>OP</v>
          </cell>
        </row>
        <row r="9">
          <cell r="B9" t="str">
            <v>NX</v>
          </cell>
        </row>
        <row r="10">
          <cell r="B10" t="str">
            <v>SBZ</v>
          </cell>
        </row>
        <row r="11">
          <cell r="B11" t="str">
            <v>SBZ</v>
          </cell>
        </row>
        <row r="12">
          <cell r="B12" t="str">
            <v>SBZ</v>
          </cell>
        </row>
        <row r="13">
          <cell r="B13" t="str">
            <v>SBZ</v>
          </cell>
        </row>
        <row r="14">
          <cell r="B14" t="str">
            <v>SBZ</v>
          </cell>
        </row>
        <row r="15">
          <cell r="B15" t="str">
            <v>RR</v>
          </cell>
        </row>
        <row r="16">
          <cell r="B16" t="str">
            <v>www</v>
          </cell>
        </row>
        <row r="17">
          <cell r="B17" t="str">
            <v>ASFA</v>
          </cell>
        </row>
      </sheetData>
      <sheetData sheetId="1" refreshError="1"/>
      <sheetData sheetId="2" refreshError="1"/>
      <sheetData sheetId="3" refreshError="1">
        <row r="1">
          <cell r="A1" t="str">
            <v>TEAM ID</v>
          </cell>
        </row>
        <row r="2">
          <cell r="J2" t="str">
            <v>RR</v>
          </cell>
          <cell r="K2" t="str">
            <v>rr</v>
          </cell>
          <cell r="L2">
            <v>5</v>
          </cell>
          <cell r="M2">
            <v>0</v>
          </cell>
          <cell r="N2">
            <v>0</v>
          </cell>
          <cell r="O2">
            <v>0</v>
          </cell>
          <cell r="P2">
            <v>5</v>
          </cell>
          <cell r="Q2">
            <v>1</v>
          </cell>
        </row>
        <row r="3">
          <cell r="J3" t="str">
            <v>RD</v>
          </cell>
          <cell r="K3" t="str">
            <v>Raddom</v>
          </cell>
          <cell r="L3">
            <v>3</v>
          </cell>
          <cell r="M3">
            <v>0</v>
          </cell>
          <cell r="N3">
            <v>0</v>
          </cell>
          <cell r="O3">
            <v>0</v>
          </cell>
          <cell r="P3">
            <v>3</v>
          </cell>
          <cell r="Q3">
            <v>2</v>
          </cell>
        </row>
        <row r="4">
          <cell r="J4" t="str">
            <v>AWD</v>
          </cell>
          <cell r="K4" t="str">
            <v>Award</v>
          </cell>
          <cell r="L4">
            <v>1</v>
          </cell>
          <cell r="M4">
            <v>0</v>
          </cell>
          <cell r="N4">
            <v>0</v>
          </cell>
          <cell r="O4">
            <v>0</v>
          </cell>
          <cell r="P4">
            <v>1</v>
          </cell>
          <cell r="Q4">
            <v>3</v>
          </cell>
        </row>
        <row r="5">
          <cell r="J5" t="str">
            <v>BOS</v>
          </cell>
          <cell r="K5" t="str">
            <v>BOSS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4</v>
          </cell>
        </row>
        <row r="6">
          <cell r="J6" t="str">
            <v>NVD</v>
          </cell>
          <cell r="K6" t="str">
            <v>NerverDIe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4</v>
          </cell>
        </row>
        <row r="7">
          <cell r="J7" t="str">
            <v>SBD</v>
          </cell>
          <cell r="K7" t="str">
            <v>Skibidy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4</v>
          </cell>
        </row>
        <row r="8">
          <cell r="J8" t="str">
            <v>SSRS</v>
          </cell>
          <cell r="K8" t="str">
            <v>SaSaRaSa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4</v>
          </cell>
        </row>
        <row r="9">
          <cell r="J9" t="str">
            <v>OP</v>
          </cell>
          <cell r="K9" t="str">
            <v>Onpara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4</v>
          </cell>
        </row>
        <row r="10">
          <cell r="J10" t="str">
            <v>NX</v>
          </cell>
          <cell r="K10" t="str">
            <v>NoXe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4</v>
          </cell>
        </row>
        <row r="11">
          <cell r="J11" t="str">
            <v>SBZ</v>
          </cell>
          <cell r="K11" t="str">
            <v>SEEBRAZ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4</v>
          </cell>
        </row>
        <row r="12">
          <cell r="J12" t="str">
            <v>SBZ</v>
          </cell>
          <cell r="K12" t="str">
            <v>SEEBRAZ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4</v>
          </cell>
        </row>
        <row r="13">
          <cell r="J13" t="str">
            <v>SBZ</v>
          </cell>
          <cell r="K13" t="str">
            <v>SEEBRAZ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4</v>
          </cell>
        </row>
        <row r="14">
          <cell r="J14" t="str">
            <v>SBZ</v>
          </cell>
          <cell r="K14" t="str">
            <v>SEEBRAZ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4</v>
          </cell>
        </row>
        <row r="15">
          <cell r="J15" t="str">
            <v>SBZ</v>
          </cell>
          <cell r="K15" t="str">
            <v>SEEBRAZ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4</v>
          </cell>
        </row>
        <row r="16">
          <cell r="J16" t="str">
            <v>www</v>
          </cell>
          <cell r="K16" t="str">
            <v>wwww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4</v>
          </cell>
        </row>
        <row r="17">
          <cell r="J17" t="str">
            <v>ASFA</v>
          </cell>
          <cell r="K17" t="str">
            <v>asfasadsd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9812-8B05-4ED9-B61F-6D2079164122}">
  <dimension ref="A1:G17"/>
  <sheetViews>
    <sheetView workbookViewId="0">
      <selection activeCell="G2" sqref="G2:G17"/>
    </sheetView>
  </sheetViews>
  <sheetFormatPr defaultRowHeight="14.25" x14ac:dyDescent="0.2"/>
  <cols>
    <col min="7" max="7" width="60.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tr">
        <f>"C:\Users\mapay\Desktop\PUBG LIVE\team_logos\" &amp; '[1]input player'!B2 &amp; ".png"</f>
        <v>C:\Users\mapay\Desktop\PUBG LIVE\team_logos\AWD.png</v>
      </c>
    </row>
    <row r="3" spans="1:7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tr">
        <f>"C:\Users\mapay\Desktop\PUBG LIVE\team_logos\" &amp; '[1]input player'!B3 &amp; ".png"</f>
        <v>C:\Users\mapay\Desktop\PUBG LIVE\team_logos\BOS.png</v>
      </c>
    </row>
    <row r="4" spans="1:7" x14ac:dyDescent="0.2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tr">
        <f>"C:\Users\mapay\Desktop\PUBG LIVE\team_logos\" &amp; '[1]input player'!B4 &amp; ".png"</f>
        <v>C:\Users\mapay\Desktop\PUBG LIVE\team_logos\NVD.png</v>
      </c>
    </row>
    <row r="5" spans="1:7" x14ac:dyDescent="0.2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tr">
        <f>"C:\Users\mapay\Desktop\PUBG LIVE\team_logos\" &amp; '[1]input player'!B5 &amp; ".png"</f>
        <v>C:\Users\mapay\Desktop\PUBG LIVE\team_logos\SBD.png</v>
      </c>
    </row>
    <row r="6" spans="1:7" x14ac:dyDescent="0.2">
      <c r="A6" t="s">
        <v>31</v>
      </c>
      <c r="B6" t="s">
        <v>32</v>
      </c>
      <c r="C6">
        <v>1111</v>
      </c>
      <c r="D6" t="s">
        <v>33</v>
      </c>
      <c r="E6" t="s">
        <v>34</v>
      </c>
      <c r="F6" t="s">
        <v>35</v>
      </c>
      <c r="G6" t="str">
        <f>"C:\Users\mapay\Desktop\PUBG LIVE\team_logos\" &amp; '[1]input player'!B6 &amp; ".png"</f>
        <v>C:\Users\mapay\Desktop\PUBG LIVE\team_logos\RD.png</v>
      </c>
    </row>
    <row r="7" spans="1:7" x14ac:dyDescent="0.2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tr">
        <f>"C:\Users\mapay\Desktop\PUBG LIVE\team_logos\" &amp; '[1]input player'!B7 &amp; ".png"</f>
        <v>C:\Users\mapay\Desktop\PUBG LIVE\team_logos\SSRS.png</v>
      </c>
    </row>
    <row r="8" spans="1:7" x14ac:dyDescent="0.2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tr">
        <f>"C:\Users\mapay\Desktop\PUBG LIVE\team_logos\" &amp; '[1]input player'!B8 &amp; ".png"</f>
        <v>C:\Users\mapay\Desktop\PUBG LIVE\team_logos\OP.png</v>
      </c>
    </row>
    <row r="9" spans="1:7" x14ac:dyDescent="0.2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tr">
        <f>"C:\Users\mapay\Desktop\PUBG LIVE\team_logos\" &amp; '[1]input player'!B9 &amp; ".png"</f>
        <v>C:\Users\mapay\Desktop\PUBG LIVE\team_logos\NX.png</v>
      </c>
    </row>
    <row r="10" spans="1:7" x14ac:dyDescent="0.2">
      <c r="A10" t="s">
        <v>54</v>
      </c>
      <c r="B10" t="s">
        <v>55</v>
      </c>
      <c r="C10" t="s">
        <v>56</v>
      </c>
      <c r="D10" t="s">
        <v>57</v>
      </c>
      <c r="E10" t="s">
        <v>57</v>
      </c>
      <c r="F10" t="s">
        <v>58</v>
      </c>
      <c r="G10" t="str">
        <f>"C:\Users\mapay\Desktop\PUBG LIVE\team_logos\" &amp; '[1]input player'!B10 &amp; ".png"</f>
        <v>C:\Users\mapay\Desktop\PUBG LIVE\team_logos\SBZ.png</v>
      </c>
    </row>
    <row r="11" spans="1:7" x14ac:dyDescent="0.2">
      <c r="A11" t="s">
        <v>96</v>
      </c>
      <c r="B11" t="s">
        <v>97</v>
      </c>
      <c r="C11" t="s">
        <v>56</v>
      </c>
      <c r="D11" t="s">
        <v>57</v>
      </c>
      <c r="E11" t="s">
        <v>57</v>
      </c>
      <c r="F11" t="s">
        <v>58</v>
      </c>
      <c r="G11" t="str">
        <f>"C:\Users\mapay\Desktop\PUBG LIVE\team_logos\" &amp; '[1]input player'!B11 &amp; ".png"</f>
        <v>C:\Users\mapay\Desktop\PUBG LIVE\team_logos\SBZ.png</v>
      </c>
    </row>
    <row r="12" spans="1:7" x14ac:dyDescent="0.2">
      <c r="A12" t="s">
        <v>98</v>
      </c>
      <c r="B12" t="s">
        <v>99</v>
      </c>
      <c r="C12" t="s">
        <v>56</v>
      </c>
      <c r="D12" t="s">
        <v>57</v>
      </c>
      <c r="E12" t="s">
        <v>57</v>
      </c>
      <c r="F12" t="s">
        <v>58</v>
      </c>
      <c r="G12" t="str">
        <f>"C:\Users\mapay\Desktop\PUBG LIVE\team_logos\" &amp; '[1]input player'!B12 &amp; ".png"</f>
        <v>C:\Users\mapay\Desktop\PUBG LIVE\team_logos\SBZ.png</v>
      </c>
    </row>
    <row r="13" spans="1:7" x14ac:dyDescent="0.2">
      <c r="A13" t="s">
        <v>100</v>
      </c>
      <c r="B13" t="s">
        <v>101</v>
      </c>
      <c r="C13" t="s">
        <v>56</v>
      </c>
      <c r="D13" t="s">
        <v>57</v>
      </c>
      <c r="E13" t="s">
        <v>57</v>
      </c>
      <c r="F13" t="s">
        <v>58</v>
      </c>
      <c r="G13" t="str">
        <f>"C:\Users\mapay\Desktop\PUBG LIVE\team_logos\" &amp; '[1]input player'!B13 &amp; ".png"</f>
        <v>C:\Users\mapay\Desktop\PUBG LIVE\team_logos\SBZ.png</v>
      </c>
    </row>
    <row r="14" spans="1:7" x14ac:dyDescent="0.2">
      <c r="A14" t="s">
        <v>102</v>
      </c>
      <c r="B14" t="s">
        <v>102</v>
      </c>
      <c r="C14" t="s">
        <v>56</v>
      </c>
      <c r="D14" t="s">
        <v>57</v>
      </c>
      <c r="E14" t="s">
        <v>57</v>
      </c>
      <c r="F14" t="s">
        <v>58</v>
      </c>
      <c r="G14" t="str">
        <f>"C:\Users\mapay\Desktop\PUBG LIVE\team_logos\" &amp; '[1]input player'!B14 &amp; ".png"</f>
        <v>C:\Users\mapay\Desktop\PUBG LIVE\team_logos\SBZ.png</v>
      </c>
    </row>
    <row r="15" spans="1:7" x14ac:dyDescent="0.2">
      <c r="A15" t="s">
        <v>59</v>
      </c>
      <c r="B15" t="s">
        <v>60</v>
      </c>
      <c r="C15" t="s">
        <v>56</v>
      </c>
      <c r="D15" t="s">
        <v>57</v>
      </c>
      <c r="E15" t="s">
        <v>57</v>
      </c>
      <c r="F15" t="s">
        <v>58</v>
      </c>
      <c r="G15" t="str">
        <f>"C:\Users\mapay\Desktop\PUBG LIVE\team_logos\" &amp; '[1]input player'!B15 &amp; ".png"</f>
        <v>C:\Users\mapay\Desktop\PUBG LIVE\team_logos\RR.png</v>
      </c>
    </row>
    <row r="16" spans="1:7" x14ac:dyDescent="0.2">
      <c r="A16" t="s">
        <v>61</v>
      </c>
      <c r="B16" t="s">
        <v>62</v>
      </c>
      <c r="C16" t="s">
        <v>63</v>
      </c>
      <c r="D16" t="s">
        <v>64</v>
      </c>
      <c r="E16" t="s">
        <v>65</v>
      </c>
      <c r="F16" t="s">
        <v>66</v>
      </c>
      <c r="G16" t="str">
        <f>"C:\Users\mapay\Desktop\PUBG LIVE\team_logos\" &amp; '[1]input player'!B16 &amp; ".png"</f>
        <v>C:\Users\mapay\Desktop\PUBG LIVE\team_logos\www.png</v>
      </c>
    </row>
    <row r="17" spans="1:7" x14ac:dyDescent="0.2">
      <c r="A17" t="s">
        <v>67</v>
      </c>
      <c r="B17" t="s">
        <v>68</v>
      </c>
      <c r="C17" t="s">
        <v>69</v>
      </c>
      <c r="D17" t="s">
        <v>70</v>
      </c>
      <c r="E17" t="s">
        <v>71</v>
      </c>
      <c r="F17" t="s">
        <v>72</v>
      </c>
      <c r="G17" t="str">
        <f>"C:\Users\mapay\Desktop\PUBG LIVE\team_logos\" &amp; '[1]input player'!B17 &amp; ".png"</f>
        <v>C:\Users\mapay\Desktop\PUBG LIVE\team_logos\ASFA.png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C861-7C1F-4FDC-B103-B4EFBCB55883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7292F-5859-4747-9D36-334BB2DB1C6C}">
  <dimension ref="A1:G17"/>
  <sheetViews>
    <sheetView workbookViewId="0">
      <selection activeCell="D9" sqref="D9"/>
    </sheetView>
  </sheetViews>
  <sheetFormatPr defaultRowHeight="14.25" x14ac:dyDescent="0.2"/>
  <cols>
    <col min="1" max="1" width="15.375" customWidth="1"/>
    <col min="2" max="2" width="16.875" customWidth="1"/>
    <col min="3" max="3" width="13.625" customWidth="1"/>
    <col min="4" max="4" width="14" customWidth="1"/>
    <col min="5" max="5" width="13.5" customWidth="1"/>
    <col min="6" max="6" width="14.125" customWidth="1"/>
  </cols>
  <sheetData>
    <row r="1" spans="1:7" ht="19.5" thickBot="1" x14ac:dyDescent="0.3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</row>
    <row r="2" spans="1:7" ht="15" thickTop="1" x14ac:dyDescent="0.2">
      <c r="A2" s="4" t="str" cm="1">
        <f t="array" ref="A2">IFERROR(INDEX('input player'!B:B, ROW()), "")</f>
        <v>AWD</v>
      </c>
      <c r="B2" t="str" cm="1">
        <f t="array" ref="B2">IFERROR(INDEX('input player'!A:A, ROW()), "")</f>
        <v>Award</v>
      </c>
      <c r="C2" s="4" t="str" cm="1">
        <f t="array" ref="C2">IFERROR(INDEX('input player'!C:C, ROW()), "")</f>
        <v>Alice</v>
      </c>
      <c r="D2" t="str" cm="1">
        <f t="array" ref="D2">IFERROR(INDEX('input player'!D:D, ROW()), "")</f>
        <v>Bob</v>
      </c>
      <c r="E2" s="4" t="str" cm="1">
        <f t="array" ref="E2">IFERROR(INDEX('input player'!E:E, ROW()), "")</f>
        <v>Carol</v>
      </c>
      <c r="F2" t="str" cm="1">
        <f t="array" ref="F2">IFERROR(INDEX('input player'!F:F, ROW()), "")</f>
        <v>Dave</v>
      </c>
      <c r="G2" s="4"/>
    </row>
    <row r="3" spans="1:7" x14ac:dyDescent="0.2">
      <c r="A3" s="4" t="str" cm="1">
        <f t="array" ref="A3">IFERROR(INDEX('input player'!B:B, ROW()), "")</f>
        <v>BOS</v>
      </c>
      <c r="B3" t="str" cm="1">
        <f t="array" ref="B3">IFERROR(INDEX('input player'!A:A, ROW()), "")</f>
        <v>BOSS</v>
      </c>
      <c r="C3" s="4" t="str" cm="1">
        <f t="array" ref="C3">IFERROR(INDEX('input player'!C:C, ROW()), "")</f>
        <v>Eva</v>
      </c>
      <c r="D3" t="str" cm="1">
        <f t="array" ref="D3">IFERROR(INDEX('input player'!D:D, ROW()), "")</f>
        <v>Flank</v>
      </c>
      <c r="E3" s="4" t="str" cm="1">
        <f t="array" ref="E3">IFERROR(INDEX('input player'!E:E, ROW()), "")</f>
        <v>Skilp</v>
      </c>
      <c r="F3" t="str" cm="1">
        <f t="array" ref="F3">IFERROR(INDEX('input player'!F:F, ROW()), "")</f>
        <v>Fal</v>
      </c>
    </row>
    <row r="4" spans="1:7" x14ac:dyDescent="0.2">
      <c r="A4" s="4" t="str" cm="1">
        <f t="array" ref="A4">IFERROR(INDEX('input player'!B:B, ROW()), "")</f>
        <v>NVD</v>
      </c>
      <c r="B4" t="str" cm="1">
        <f t="array" ref="B4">IFERROR(INDEX('input player'!A:A, ROW()), "")</f>
        <v>NerverDIe</v>
      </c>
      <c r="C4" s="4" t="str" cm="1">
        <f t="array" ref="C4">IFERROR(INDEX('input player'!C:C, ROW()), "")</f>
        <v>figma</v>
      </c>
      <c r="D4" t="str" cm="1">
        <f t="array" ref="D4">IFERROR(INDEX('input player'!D:D, ROW()), "")</f>
        <v>SSa2</v>
      </c>
      <c r="E4" s="4" t="str" cm="1">
        <f t="array" ref="E4">IFERROR(INDEX('input player'!E:E, ROW()), "")</f>
        <v>TTs</v>
      </c>
      <c r="F4" t="str" cm="1">
        <f t="array" ref="F4">IFERROR(INDEX('input player'!F:F, ROW()), "")</f>
        <v>5555W</v>
      </c>
    </row>
    <row r="5" spans="1:7" x14ac:dyDescent="0.2">
      <c r="A5" s="4" t="str" cm="1">
        <f t="array" ref="A5">IFERROR(INDEX('input player'!B:B, ROW()), "")</f>
        <v>SBD</v>
      </c>
      <c r="B5" t="str" cm="1">
        <f t="array" ref="B5">IFERROR(INDEX('input player'!A:A, ROW()), "")</f>
        <v>Skibidy</v>
      </c>
      <c r="C5" s="4" t="str" cm="1">
        <f t="array" ref="C5">IFERROR(INDEX('input player'!C:C, ROW()), "")</f>
        <v>dsa</v>
      </c>
      <c r="D5" t="str" cm="1">
        <f t="array" ref="D5">IFERROR(INDEX('input player'!D:D, ROW()), "")</f>
        <v>hgaaw</v>
      </c>
      <c r="E5" s="4" t="str" cm="1">
        <f t="array" ref="E5">IFERROR(INDEX('input player'!E:E, ROW()), "")</f>
        <v>Wsxa</v>
      </c>
      <c r="F5" t="str" cm="1">
        <f t="array" ref="F5">IFERROR(INDEX('input player'!F:F, ROW()), "")</f>
        <v>savfa</v>
      </c>
    </row>
    <row r="6" spans="1:7" x14ac:dyDescent="0.2">
      <c r="A6" s="4" t="str" cm="1">
        <f t="array" ref="A6">IFERROR(INDEX('input player'!B:B, ROW()), "")</f>
        <v>RD</v>
      </c>
      <c r="B6" t="str" cm="1">
        <f t="array" ref="B6">IFERROR(INDEX('input player'!A:A, ROW()), "")</f>
        <v>Raddom</v>
      </c>
      <c r="C6" s="4" cm="1">
        <f t="array" ref="C6">IFERROR(INDEX('input player'!C:C, ROW()), "")</f>
        <v>1111</v>
      </c>
      <c r="D6" t="str" cm="1">
        <f t="array" ref="D6">IFERROR(INDEX('input player'!D:D, ROW()), "")</f>
        <v>opsSS</v>
      </c>
      <c r="E6" s="4" t="str" cm="1">
        <f t="array" ref="E6">IFERROR(INDEX('input player'!E:E, ROW()), "")</f>
        <v>Navaw</v>
      </c>
      <c r="F6" t="str" cm="1">
        <f t="array" ref="F6">IFERROR(INDEX('input player'!F:F, ROW()), "")</f>
        <v>XIVVV</v>
      </c>
    </row>
    <row r="7" spans="1:7" x14ac:dyDescent="0.2">
      <c r="A7" s="4" t="str" cm="1">
        <f t="array" ref="A7">IFERROR(INDEX('input player'!B:B, ROW()), "")</f>
        <v>SSRS</v>
      </c>
      <c r="B7" t="str" cm="1">
        <f t="array" ref="B7">IFERROR(INDEX('input player'!A:A, ROW()), "")</f>
        <v>SaSaRaSa</v>
      </c>
      <c r="C7" s="4" t="str" cm="1">
        <f t="array" ref="C7">IFERROR(INDEX('input player'!C:C, ROW()), "")</f>
        <v>gagw</v>
      </c>
      <c r="D7" t="str" cm="1">
        <f t="array" ref="D7">IFERROR(INDEX('input player'!D:D, ROW()), "")</f>
        <v>dwasdw</v>
      </c>
      <c r="E7" s="4" t="str" cm="1">
        <f t="array" ref="E7">IFERROR(INDEX('input player'!E:E, ROW()), "")</f>
        <v>fgwagfwa</v>
      </c>
      <c r="F7" t="str" cm="1">
        <f t="array" ref="F7">IFERROR(INDEX('input player'!F:F, ROW()), "")</f>
        <v>wfwafwafaw</v>
      </c>
    </row>
    <row r="8" spans="1:7" x14ac:dyDescent="0.2">
      <c r="A8" s="4" t="str" cm="1">
        <f t="array" ref="A8">IFERROR(INDEX('input player'!B:B, ROW()), "")</f>
        <v>OP</v>
      </c>
      <c r="B8" t="str" cm="1">
        <f t="array" ref="B8">IFERROR(INDEX('input player'!A:A, ROW()), "")</f>
        <v>Onpara</v>
      </c>
      <c r="C8" s="4" t="str" cm="1">
        <f t="array" ref="C8">IFERROR(INDEX('input player'!C:C, ROW()), "")</f>
        <v>sdadsa</v>
      </c>
      <c r="D8" t="str" cm="1">
        <f t="array" ref="D8">IFERROR(INDEX('input player'!D:D, ROW()), "")</f>
        <v>gaaga</v>
      </c>
      <c r="E8" s="4" t="str" cm="1">
        <f t="array" ref="E8">IFERROR(INDEX('input player'!E:E, ROW()), "")</f>
        <v>ssdsa</v>
      </c>
      <c r="F8" t="str" cm="1">
        <f t="array" ref="F8">IFERROR(INDEX('input player'!F:F, ROW()), "")</f>
        <v>acxzcw</v>
      </c>
    </row>
    <row r="9" spans="1:7" x14ac:dyDescent="0.2">
      <c r="A9" s="4" t="str" cm="1">
        <f t="array" ref="A9">IFERROR(INDEX('input player'!B:B, ROW()), "")</f>
        <v>NX</v>
      </c>
      <c r="B9" t="str" cm="1">
        <f t="array" ref="B9">IFERROR(INDEX('input player'!A:A, ROW()), "")</f>
        <v>NoXe</v>
      </c>
      <c r="C9" s="4" t="str" cm="1">
        <f t="array" ref="C9">IFERROR(INDEX('input player'!C:C, ROW()), "")</f>
        <v>wdwad</v>
      </c>
      <c r="D9" t="str" cm="1">
        <f t="array" ref="D9">IFERROR(INDEX('input player'!D:D, ROW()), "")</f>
        <v>sdwa</v>
      </c>
      <c r="E9" s="4" t="str" cm="1">
        <f t="array" ref="E9">IFERROR(INDEX('input player'!E:E, ROW()), "")</f>
        <v>sdaw</v>
      </c>
      <c r="F9" t="str" cm="1">
        <f t="array" ref="F9">IFERROR(INDEX('input player'!F:F, ROW()), "")</f>
        <v>adsdwa</v>
      </c>
    </row>
    <row r="10" spans="1:7" x14ac:dyDescent="0.2">
      <c r="A10" s="4" t="str" cm="1">
        <f t="array" ref="A10">IFERROR(INDEX('input player'!B:B, ROW()), "")</f>
        <v>SBZ</v>
      </c>
      <c r="B10" t="str" cm="1">
        <f t="array" ref="B10">IFERROR(INDEX('input player'!A:A, ROW()), "")</f>
        <v>SEEBRAZ</v>
      </c>
      <c r="C10" s="4" t="str" cm="1">
        <f t="array" ref="C10">IFERROR(INDEX('input player'!C:C, ROW()), "")</f>
        <v>sdawds</v>
      </c>
      <c r="D10" t="str" cm="1">
        <f t="array" ref="D10">IFERROR(INDEX('input player'!D:D, ROW()), "")</f>
        <v>adwads</v>
      </c>
      <c r="E10" s="4" t="str" cm="1">
        <f t="array" ref="E10">IFERROR(INDEX('input player'!E:E, ROW()), "")</f>
        <v>adwads</v>
      </c>
      <c r="F10" t="str" cm="1">
        <f t="array" ref="F10">IFERROR(INDEX('input player'!F:F, ROW()), "")</f>
        <v>adwadsa</v>
      </c>
    </row>
    <row r="11" spans="1:7" x14ac:dyDescent="0.2">
      <c r="A11" s="4" t="str" cm="1">
        <f t="array" ref="A11">IFERROR(INDEX('input player'!B:B, ROW()), "")</f>
        <v>FF</v>
      </c>
      <c r="B11" t="str" cm="1">
        <f t="array" ref="B11">IFERROR(INDEX('input player'!A:A, ROW()), "")</f>
        <v>ff</v>
      </c>
      <c r="C11" s="4" t="str" cm="1">
        <f t="array" ref="C11">IFERROR(INDEX('input player'!C:C, ROW()), "")</f>
        <v>sdawds</v>
      </c>
      <c r="D11" t="str" cm="1">
        <f t="array" ref="D11">IFERROR(INDEX('input player'!D:D, ROW()), "")</f>
        <v>adwads</v>
      </c>
      <c r="E11" s="4" t="str" cm="1">
        <f t="array" ref="E11">IFERROR(INDEX('input player'!E:E, ROW()), "")</f>
        <v>adwads</v>
      </c>
      <c r="F11" t="str" cm="1">
        <f t="array" ref="F11">IFERROR(INDEX('input player'!F:F, ROW()), "")</f>
        <v>adwadsa</v>
      </c>
    </row>
    <row r="12" spans="1:7" x14ac:dyDescent="0.2">
      <c r="A12" s="4" t="str" cm="1">
        <f t="array" ref="A12">IFERROR(INDEX('input player'!B:B, ROW()), "")</f>
        <v>SDF</v>
      </c>
      <c r="B12" t="str" cm="1">
        <f t="array" ref="B12">IFERROR(INDEX('input player'!A:A, ROW()), "")</f>
        <v>sdfsdf</v>
      </c>
      <c r="C12" s="4" t="str" cm="1">
        <f t="array" ref="C12">IFERROR(INDEX('input player'!C:C, ROW()), "")</f>
        <v>sdawds</v>
      </c>
      <c r="D12" t="str" cm="1">
        <f t="array" ref="D12">IFERROR(INDEX('input player'!D:D, ROW()), "")</f>
        <v>adwads</v>
      </c>
      <c r="E12" s="4" t="str" cm="1">
        <f t="array" ref="E12">IFERROR(INDEX('input player'!E:E, ROW()), "")</f>
        <v>adwads</v>
      </c>
      <c r="F12" t="str" cm="1">
        <f t="array" ref="F12">IFERROR(INDEX('input player'!F:F, ROW()), "")</f>
        <v>adwadsa</v>
      </c>
    </row>
    <row r="13" spans="1:7" x14ac:dyDescent="0.2">
      <c r="A13" s="4" t="str" cm="1">
        <f t="array" ref="A13">IFERROR(INDEX('input player'!B:B, ROW()), "")</f>
        <v>HHH</v>
      </c>
      <c r="B13" t="str" cm="1">
        <f t="array" ref="B13">IFERROR(INDEX('input player'!A:A, ROW()), "")</f>
        <v>HHHH</v>
      </c>
      <c r="C13" s="4" t="str" cm="1">
        <f t="array" ref="C13">IFERROR(INDEX('input player'!C:C, ROW()), "")</f>
        <v>sdawds</v>
      </c>
      <c r="D13" t="str" cm="1">
        <f t="array" ref="D13">IFERROR(INDEX('input player'!D:D, ROW()), "")</f>
        <v>adwads</v>
      </c>
      <c r="E13" s="4" t="str" cm="1">
        <f t="array" ref="E13">IFERROR(INDEX('input player'!E:E, ROW()), "")</f>
        <v>adwads</v>
      </c>
      <c r="F13" t="str" cm="1">
        <f t="array" ref="F13">IFERROR(INDEX('input player'!F:F, ROW()), "")</f>
        <v>adwadsa</v>
      </c>
    </row>
    <row r="14" spans="1:7" x14ac:dyDescent="0.2">
      <c r="A14" s="4" t="str" cm="1">
        <f t="array" ref="A14">IFERROR(INDEX('input player'!B:B, ROW()), "")</f>
        <v>SSEE</v>
      </c>
      <c r="B14" t="str" cm="1">
        <f t="array" ref="B14">IFERROR(INDEX('input player'!A:A, ROW()), "")</f>
        <v>SSEE</v>
      </c>
      <c r="C14" s="4" t="str" cm="1">
        <f t="array" ref="C14">IFERROR(INDEX('input player'!C:C, ROW()), "")</f>
        <v>sdawds</v>
      </c>
      <c r="D14" t="str" cm="1">
        <f t="array" ref="D14">IFERROR(INDEX('input player'!D:D, ROW()), "")</f>
        <v>adwads</v>
      </c>
      <c r="E14" s="4" t="str" cm="1">
        <f t="array" ref="E14">IFERROR(INDEX('input player'!E:E, ROW()), "")</f>
        <v>adwads</v>
      </c>
      <c r="F14" t="str" cm="1">
        <f t="array" ref="F14">IFERROR(INDEX('input player'!F:F, ROW()), "")</f>
        <v>adwadsa</v>
      </c>
    </row>
    <row r="15" spans="1:7" x14ac:dyDescent="0.2">
      <c r="A15" s="4" t="str" cm="1">
        <f t="array" ref="A15">IFERROR(INDEX('input player'!B:B, ROW()), "")</f>
        <v>RR</v>
      </c>
      <c r="B15" t="str" cm="1">
        <f t="array" ref="B15">IFERROR(INDEX('input player'!A:A, ROW()), "")</f>
        <v>rr</v>
      </c>
      <c r="C15" s="4" t="str" cm="1">
        <f t="array" ref="C15">IFERROR(INDEX('input player'!C:C, ROW()), "")</f>
        <v>sdawds</v>
      </c>
      <c r="D15" t="str" cm="1">
        <f t="array" ref="D15">IFERROR(INDEX('input player'!D:D, ROW()), "")</f>
        <v>adwads</v>
      </c>
      <c r="E15" s="4" t="str" cm="1">
        <f t="array" ref="E15">IFERROR(INDEX('input player'!E:E, ROW()), "")</f>
        <v>adwads</v>
      </c>
      <c r="F15" t="str" cm="1">
        <f t="array" ref="F15">IFERROR(INDEX('input player'!F:F, ROW()), "")</f>
        <v>adwadsa</v>
      </c>
    </row>
    <row r="16" spans="1:7" x14ac:dyDescent="0.2">
      <c r="A16" s="4" t="str" cm="1">
        <f t="array" ref="A16">IFERROR(INDEX('input player'!B:B, ROW()), "")</f>
        <v>www</v>
      </c>
      <c r="B16" t="str" cm="1">
        <f t="array" ref="B16">IFERROR(INDEX('input player'!A:A, ROW()), "")</f>
        <v>wwww</v>
      </c>
      <c r="C16" s="4" t="str" cm="1">
        <f t="array" ref="C16">IFERROR(INDEX('input player'!C:C, ROW()), "")</f>
        <v>sdawdsdsad</v>
      </c>
      <c r="D16" t="str" cm="1">
        <f t="array" ref="D16">IFERROR(INDEX('input player'!D:D, ROW()), "")</f>
        <v>adasdasdwads</v>
      </c>
      <c r="E16" s="4" t="str" cm="1">
        <f t="array" ref="E16">IFERROR(INDEX('input player'!E:E, ROW()), "")</f>
        <v>grjadwads</v>
      </c>
      <c r="F16" t="str" cm="1">
        <f t="array" ref="F16">IFERROR(INDEX('input player'!F:F, ROW()), "")</f>
        <v>kuyadwadsatyjk</v>
      </c>
    </row>
    <row r="17" spans="1:6" x14ac:dyDescent="0.2">
      <c r="A17" s="4" t="str" cm="1">
        <f t="array" ref="A17">IFERROR(INDEX('input player'!B:B, ROW()), "")</f>
        <v>ASFA</v>
      </c>
      <c r="B17" t="str" cm="1">
        <f t="array" ref="B17">IFERROR(INDEX('input player'!A:A, ROW()), "")</f>
        <v>asfasadsd</v>
      </c>
      <c r="C17" s="4" t="str" cm="1">
        <f t="array" ref="C17">IFERROR(INDEX('input player'!C:C, ROW()), "")</f>
        <v>f</v>
      </c>
      <c r="D17" t="str" cm="1">
        <f t="array" ref="D17">IFERROR(INDEX('input player'!D:D, ROW()), "")</f>
        <v>adwdf</v>
      </c>
      <c r="E17" s="4" t="str" cm="1">
        <f t="array" ref="E17">IFERROR(INDEX('input player'!E:E, ROW()), "")</f>
        <v>as</v>
      </c>
      <c r="F17" t="str" cm="1">
        <f t="array" ref="F17">IFERROR(INDEX('input player'!F:F, ROW()), "")</f>
        <v>ffff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DA8B-E718-4BCC-9ADE-2804F5823C80}">
  <sheetPr>
    <tabColor rgb="FFFFC000"/>
  </sheetPr>
  <dimension ref="A1:H16"/>
  <sheetViews>
    <sheetView workbookViewId="0">
      <selection activeCell="F22" sqref="F22"/>
    </sheetView>
  </sheetViews>
  <sheetFormatPr defaultRowHeight="14.25" x14ac:dyDescent="0.2"/>
  <sheetData>
    <row r="1" spans="1:8" x14ac:dyDescent="0.2">
      <c r="A1" t="str" cm="1">
        <f t="array" ref="A1:H16">'[1]DAY SUMMARY W1D1'!J2:Q17</f>
        <v>RR</v>
      </c>
      <c r="B1" t="str">
        <v>rr</v>
      </c>
      <c r="C1">
        <v>5</v>
      </c>
      <c r="D1">
        <v>0</v>
      </c>
      <c r="E1">
        <v>0</v>
      </c>
      <c r="F1">
        <v>0</v>
      </c>
      <c r="G1">
        <v>5</v>
      </c>
      <c r="H1">
        <v>1</v>
      </c>
    </row>
    <row r="2" spans="1:8" x14ac:dyDescent="0.2">
      <c r="A2" t="str">
        <v>RD</v>
      </c>
      <c r="B2" t="str">
        <v>Raddom</v>
      </c>
      <c r="C2">
        <v>3</v>
      </c>
      <c r="D2">
        <v>0</v>
      </c>
      <c r="E2">
        <v>0</v>
      </c>
      <c r="F2">
        <v>0</v>
      </c>
      <c r="G2">
        <v>3</v>
      </c>
      <c r="H2">
        <v>2</v>
      </c>
    </row>
    <row r="3" spans="1:8" x14ac:dyDescent="0.2">
      <c r="A3" t="str">
        <v>AWD</v>
      </c>
      <c r="B3" t="str">
        <v>Award</v>
      </c>
      <c r="C3">
        <v>1</v>
      </c>
      <c r="D3">
        <v>0</v>
      </c>
      <c r="E3">
        <v>0</v>
      </c>
      <c r="F3">
        <v>0</v>
      </c>
      <c r="G3">
        <v>1</v>
      </c>
      <c r="H3">
        <v>3</v>
      </c>
    </row>
    <row r="4" spans="1:8" x14ac:dyDescent="0.2">
      <c r="A4" t="str">
        <v>BOS</v>
      </c>
      <c r="B4" t="str">
        <v>BOSS</v>
      </c>
      <c r="C4">
        <v>0</v>
      </c>
      <c r="D4">
        <v>0</v>
      </c>
      <c r="E4">
        <v>0</v>
      </c>
      <c r="F4">
        <v>0</v>
      </c>
      <c r="G4">
        <v>0</v>
      </c>
      <c r="H4">
        <v>4</v>
      </c>
    </row>
    <row r="5" spans="1:8" x14ac:dyDescent="0.2">
      <c r="A5" t="str">
        <v>NVD</v>
      </c>
      <c r="B5" t="str">
        <v>NerverDIe</v>
      </c>
      <c r="C5">
        <v>0</v>
      </c>
      <c r="D5">
        <v>0</v>
      </c>
      <c r="E5">
        <v>0</v>
      </c>
      <c r="F5">
        <v>0</v>
      </c>
      <c r="G5">
        <v>0</v>
      </c>
      <c r="H5">
        <v>4</v>
      </c>
    </row>
    <row r="6" spans="1:8" x14ac:dyDescent="0.2">
      <c r="A6" t="str">
        <v>SBD</v>
      </c>
      <c r="B6" t="str">
        <v>Skibidy</v>
      </c>
      <c r="C6">
        <v>0</v>
      </c>
      <c r="D6">
        <v>0</v>
      </c>
      <c r="E6">
        <v>0</v>
      </c>
      <c r="F6">
        <v>0</v>
      </c>
      <c r="G6">
        <v>0</v>
      </c>
      <c r="H6">
        <v>4</v>
      </c>
    </row>
    <row r="7" spans="1:8" x14ac:dyDescent="0.2">
      <c r="A7" t="str">
        <v>SSRS</v>
      </c>
      <c r="B7" t="str">
        <v>SaSaRaSa</v>
      </c>
      <c r="C7">
        <v>0</v>
      </c>
      <c r="D7">
        <v>0</v>
      </c>
      <c r="E7">
        <v>0</v>
      </c>
      <c r="F7">
        <v>0</v>
      </c>
      <c r="G7">
        <v>0</v>
      </c>
      <c r="H7">
        <v>4</v>
      </c>
    </row>
    <row r="8" spans="1:8" x14ac:dyDescent="0.2">
      <c r="A8" t="str">
        <v>OP</v>
      </c>
      <c r="B8" t="str">
        <v>Onpara</v>
      </c>
      <c r="C8">
        <v>0</v>
      </c>
      <c r="D8">
        <v>0</v>
      </c>
      <c r="E8">
        <v>0</v>
      </c>
      <c r="F8">
        <v>0</v>
      </c>
      <c r="G8">
        <v>0</v>
      </c>
      <c r="H8">
        <v>4</v>
      </c>
    </row>
    <row r="9" spans="1:8" x14ac:dyDescent="0.2">
      <c r="A9" t="str">
        <v>NX</v>
      </c>
      <c r="B9" t="str">
        <v>NoXe</v>
      </c>
      <c r="C9">
        <v>0</v>
      </c>
      <c r="D9">
        <v>0</v>
      </c>
      <c r="E9">
        <v>0</v>
      </c>
      <c r="F9">
        <v>0</v>
      </c>
      <c r="G9">
        <v>0</v>
      </c>
      <c r="H9">
        <v>4</v>
      </c>
    </row>
    <row r="10" spans="1:8" x14ac:dyDescent="0.2">
      <c r="A10" t="str">
        <v>SBZ</v>
      </c>
      <c r="B10" t="str">
        <v>SEEBRAZ</v>
      </c>
      <c r="C10">
        <v>0</v>
      </c>
      <c r="D10">
        <v>0</v>
      </c>
      <c r="E10">
        <v>0</v>
      </c>
      <c r="F10">
        <v>0</v>
      </c>
      <c r="G10">
        <v>0</v>
      </c>
      <c r="H10">
        <v>4</v>
      </c>
    </row>
    <row r="11" spans="1:8" x14ac:dyDescent="0.2">
      <c r="A11" t="str">
        <v>SBZ</v>
      </c>
      <c r="B11" t="str">
        <v>SEEBRAZ</v>
      </c>
      <c r="C11">
        <v>0</v>
      </c>
      <c r="D11">
        <v>0</v>
      </c>
      <c r="E11">
        <v>0</v>
      </c>
      <c r="F11">
        <v>0</v>
      </c>
      <c r="G11">
        <v>0</v>
      </c>
      <c r="H11">
        <v>4</v>
      </c>
    </row>
    <row r="12" spans="1:8" x14ac:dyDescent="0.2">
      <c r="A12" t="str">
        <v>SBZ</v>
      </c>
      <c r="B12" t="str">
        <v>SEEBRAZ</v>
      </c>
      <c r="C12">
        <v>0</v>
      </c>
      <c r="D12">
        <v>0</v>
      </c>
      <c r="E12">
        <v>0</v>
      </c>
      <c r="F12">
        <v>0</v>
      </c>
      <c r="G12">
        <v>0</v>
      </c>
      <c r="H12">
        <v>4</v>
      </c>
    </row>
    <row r="13" spans="1:8" x14ac:dyDescent="0.2">
      <c r="A13" t="str">
        <v>SBZ</v>
      </c>
      <c r="B13" t="str">
        <v>SEEBRAZ</v>
      </c>
      <c r="C13">
        <v>0</v>
      </c>
      <c r="D13">
        <v>0</v>
      </c>
      <c r="E13">
        <v>0</v>
      </c>
      <c r="F13">
        <v>0</v>
      </c>
      <c r="G13">
        <v>0</v>
      </c>
      <c r="H13">
        <v>4</v>
      </c>
    </row>
    <row r="14" spans="1:8" x14ac:dyDescent="0.2">
      <c r="A14" t="str">
        <v>SBZ</v>
      </c>
      <c r="B14" t="str">
        <v>SEEBRAZ</v>
      </c>
      <c r="C14">
        <v>0</v>
      </c>
      <c r="D14">
        <v>0</v>
      </c>
      <c r="E14">
        <v>0</v>
      </c>
      <c r="F14">
        <v>0</v>
      </c>
      <c r="G14">
        <v>0</v>
      </c>
      <c r="H14">
        <v>4</v>
      </c>
    </row>
    <row r="15" spans="1:8" x14ac:dyDescent="0.2">
      <c r="A15" t="str">
        <v>www</v>
      </c>
      <c r="B15" t="str">
        <v>wwww</v>
      </c>
      <c r="C15">
        <v>0</v>
      </c>
      <c r="D15">
        <v>0</v>
      </c>
      <c r="E15">
        <v>0</v>
      </c>
      <c r="F15">
        <v>0</v>
      </c>
      <c r="G15">
        <v>0</v>
      </c>
      <c r="H15">
        <v>4</v>
      </c>
    </row>
    <row r="16" spans="1:8" x14ac:dyDescent="0.2">
      <c r="A16" t="str">
        <v>ASFA</v>
      </c>
      <c r="B16" t="str">
        <v>asfasadsd</v>
      </c>
      <c r="C16">
        <v>0</v>
      </c>
      <c r="D16">
        <v>0</v>
      </c>
      <c r="E16">
        <v>0</v>
      </c>
      <c r="F16">
        <v>0</v>
      </c>
      <c r="G16">
        <v>0</v>
      </c>
      <c r="H16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EA908-B968-4023-B55B-7A986729D09D}">
  <sheetPr>
    <tabColor rgb="FFFFC000"/>
  </sheetPr>
  <dimension ref="A1:Q17"/>
  <sheetViews>
    <sheetView workbookViewId="0">
      <selection activeCell="Q17" sqref="Q17"/>
    </sheetView>
  </sheetViews>
  <sheetFormatPr defaultRowHeight="14.25" x14ac:dyDescent="0.2"/>
  <sheetData>
    <row r="1" spans="1:17" ht="33.75" thickBot="1" x14ac:dyDescent="0.25">
      <c r="A1" s="9" t="s">
        <v>79</v>
      </c>
      <c r="B1" s="9" t="s">
        <v>74</v>
      </c>
      <c r="C1" s="9" t="s">
        <v>84</v>
      </c>
      <c r="D1" s="9" t="s">
        <v>85</v>
      </c>
      <c r="E1" s="9" t="s">
        <v>86</v>
      </c>
      <c r="F1" s="9" t="s">
        <v>88</v>
      </c>
      <c r="G1" s="9" t="s">
        <v>87</v>
      </c>
      <c r="H1" s="9" t="s">
        <v>80</v>
      </c>
      <c r="I1" s="9"/>
      <c r="J1" s="9"/>
      <c r="K1" s="9"/>
    </row>
    <row r="2" spans="1:17" ht="15" thickTop="1" x14ac:dyDescent="0.2">
      <c r="A2" t="str" cm="1">
        <f t="array" ref="A2">INDEX(TEAMLIST!A:A, ROW())</f>
        <v>AWD</v>
      </c>
      <c r="B2" t="str" cm="1">
        <f t="array" ref="B2">INDEX(TEAMLIST!B:B, ROW())</f>
        <v>Award</v>
      </c>
      <c r="C2">
        <f>IFERROR(VLOOKUP($A2, W1D1M1!$A:$F, 6, FALSE), 0)</f>
        <v>1</v>
      </c>
      <c r="D2">
        <f>IFERROR(VLOOKUP($A2, W1D1M2!$A:$F, 6, FALSE), 0)</f>
        <v>0</v>
      </c>
      <c r="E2">
        <f>IFERROR(VLOOKUP($A2, W1D1M3!$A:$F, 6, FALSE), 0)</f>
        <v>0</v>
      </c>
      <c r="F2">
        <f>IFERROR(VLOOKUP($A2,#REF!, 6, FALSE), 0)</f>
        <v>0</v>
      </c>
      <c r="G2" s="4">
        <f>SUM(C2:F2)</f>
        <v>1</v>
      </c>
      <c r="H2">
        <f>IFERROR(RANK(G2,$G$2:$G$17,0),0)</f>
        <v>3</v>
      </c>
      <c r="J2" t="str" cm="1">
        <f t="array" ref="J2:Q17">_xlfn._xlws.SORT(A2:H17, 8, 1)</f>
        <v>RR</v>
      </c>
      <c r="K2" t="str">
        <v>rr</v>
      </c>
      <c r="L2">
        <v>5</v>
      </c>
      <c r="M2">
        <v>0</v>
      </c>
      <c r="N2">
        <v>0</v>
      </c>
      <c r="O2">
        <v>0</v>
      </c>
      <c r="P2">
        <v>5</v>
      </c>
      <c r="Q2">
        <v>1</v>
      </c>
    </row>
    <row r="3" spans="1:17" x14ac:dyDescent="0.2">
      <c r="A3" t="str" cm="1">
        <f t="array" ref="A3">INDEX(TEAMLIST!A:A, ROW())</f>
        <v>BOS</v>
      </c>
      <c r="B3" t="str" cm="1">
        <f t="array" ref="B3">INDEX(TEAMLIST!B:B, ROW())</f>
        <v>BOSS</v>
      </c>
      <c r="C3">
        <f>IFERROR(VLOOKUP($A3, W1D1M1!$A:$F, 6, FALSE), 0)</f>
        <v>0</v>
      </c>
      <c r="D3">
        <f>IFERROR(VLOOKUP($A3, W1D1M2!$A:$F, 6, FALSE), 0)</f>
        <v>0</v>
      </c>
      <c r="E3">
        <f>IFERROR(VLOOKUP($A3, W1D1M3!$A:$F, 6, FALSE), 0)</f>
        <v>0</v>
      </c>
      <c r="F3">
        <f>IFERROR(VLOOKUP($A3,#REF!, 6, FALSE), 0)</f>
        <v>0</v>
      </c>
      <c r="G3" s="4">
        <f t="shared" ref="G3:G17" si="0">SUM(C3:F3)</f>
        <v>0</v>
      </c>
      <c r="H3">
        <f t="shared" ref="H3:H17" si="1">IFERROR(RANK(G3,$G$2:$G$17,0),0)</f>
        <v>4</v>
      </c>
      <c r="J3" t="str">
        <v>RD</v>
      </c>
      <c r="K3" t="str">
        <v>Raddom</v>
      </c>
      <c r="L3">
        <v>3</v>
      </c>
      <c r="M3">
        <v>0</v>
      </c>
      <c r="N3">
        <v>0</v>
      </c>
      <c r="O3">
        <v>0</v>
      </c>
      <c r="P3">
        <v>3</v>
      </c>
      <c r="Q3">
        <v>2</v>
      </c>
    </row>
    <row r="4" spans="1:17" x14ac:dyDescent="0.2">
      <c r="A4" t="str" cm="1">
        <f t="array" ref="A4">INDEX(TEAMLIST!A:A, ROW())</f>
        <v>NVD</v>
      </c>
      <c r="B4" t="str" cm="1">
        <f t="array" ref="B4">INDEX(TEAMLIST!B:B, ROW())</f>
        <v>NerverDIe</v>
      </c>
      <c r="C4">
        <f>IFERROR(VLOOKUP($A4, W1D1M1!$A:$F, 6, FALSE), 0)</f>
        <v>0</v>
      </c>
      <c r="D4">
        <f>IFERROR(VLOOKUP($A4, W1D1M2!$A:$F, 6, FALSE), 0)</f>
        <v>0</v>
      </c>
      <c r="E4">
        <f>IFERROR(VLOOKUP($A4, W1D1M3!$A:$F, 6, FALSE), 0)</f>
        <v>0</v>
      </c>
      <c r="F4">
        <f>IFERROR(VLOOKUP($A4,#REF!, 6, FALSE), 0)</f>
        <v>0</v>
      </c>
      <c r="G4" s="4">
        <f t="shared" si="0"/>
        <v>0</v>
      </c>
      <c r="H4">
        <f t="shared" si="1"/>
        <v>4</v>
      </c>
      <c r="J4" t="str">
        <v>AWD</v>
      </c>
      <c r="K4" t="str">
        <v>Award</v>
      </c>
      <c r="L4">
        <v>1</v>
      </c>
      <c r="M4">
        <v>0</v>
      </c>
      <c r="N4">
        <v>0</v>
      </c>
      <c r="O4">
        <v>0</v>
      </c>
      <c r="P4">
        <v>1</v>
      </c>
      <c r="Q4">
        <v>3</v>
      </c>
    </row>
    <row r="5" spans="1:17" x14ac:dyDescent="0.2">
      <c r="A5" t="str" cm="1">
        <f t="array" ref="A5">INDEX(TEAMLIST!A:A, ROW())</f>
        <v>SBD</v>
      </c>
      <c r="B5" t="str" cm="1">
        <f t="array" ref="B5">INDEX(TEAMLIST!B:B, ROW())</f>
        <v>Skibidy</v>
      </c>
      <c r="C5">
        <f>IFERROR(VLOOKUP($A5, W1D1M1!$A:$F, 6, FALSE), 0)</f>
        <v>0</v>
      </c>
      <c r="D5">
        <f>IFERROR(VLOOKUP($A5, W1D1M2!$A:$F, 6, FALSE), 0)</f>
        <v>0</v>
      </c>
      <c r="E5">
        <f>IFERROR(VLOOKUP($A5, W1D1M3!$A:$F, 6, FALSE), 0)</f>
        <v>0</v>
      </c>
      <c r="F5">
        <f>IFERROR(VLOOKUP($A5,#REF!, 6, FALSE), 0)</f>
        <v>0</v>
      </c>
      <c r="G5" s="4">
        <f t="shared" si="0"/>
        <v>0</v>
      </c>
      <c r="H5">
        <f t="shared" si="1"/>
        <v>4</v>
      </c>
      <c r="J5" t="str">
        <v>BOS</v>
      </c>
      <c r="K5" t="str">
        <v>BOSS</v>
      </c>
      <c r="L5">
        <v>0</v>
      </c>
      <c r="M5">
        <v>0</v>
      </c>
      <c r="N5">
        <v>0</v>
      </c>
      <c r="O5">
        <v>0</v>
      </c>
      <c r="P5">
        <v>0</v>
      </c>
      <c r="Q5">
        <v>4</v>
      </c>
    </row>
    <row r="6" spans="1:17" x14ac:dyDescent="0.2">
      <c r="A6" t="str" cm="1">
        <f t="array" ref="A6">INDEX(TEAMLIST!A:A, ROW())</f>
        <v>RD</v>
      </c>
      <c r="B6" t="str" cm="1">
        <f t="array" ref="B6">INDEX(TEAMLIST!B:B, ROW())</f>
        <v>Raddom</v>
      </c>
      <c r="C6">
        <f>IFERROR(VLOOKUP($A6, W1D1M1!$A:$F, 6, FALSE), 0)</f>
        <v>3</v>
      </c>
      <c r="D6">
        <f>IFERROR(VLOOKUP($A6, W1D1M2!$A:$F, 6, FALSE), 0)</f>
        <v>0</v>
      </c>
      <c r="E6">
        <f>IFERROR(VLOOKUP($A6, W1D1M3!$A:$F, 6, FALSE), 0)</f>
        <v>0</v>
      </c>
      <c r="F6">
        <f>IFERROR(VLOOKUP($A6,#REF!, 6, FALSE), 0)</f>
        <v>0</v>
      </c>
      <c r="G6" s="4">
        <f t="shared" si="0"/>
        <v>3</v>
      </c>
      <c r="H6">
        <f t="shared" si="1"/>
        <v>2</v>
      </c>
      <c r="J6" t="str">
        <v>NVD</v>
      </c>
      <c r="K6" t="str">
        <v>NerverDIe</v>
      </c>
      <c r="L6">
        <v>0</v>
      </c>
      <c r="M6">
        <v>0</v>
      </c>
      <c r="N6">
        <v>0</v>
      </c>
      <c r="O6">
        <v>0</v>
      </c>
      <c r="P6">
        <v>0</v>
      </c>
      <c r="Q6">
        <v>4</v>
      </c>
    </row>
    <row r="7" spans="1:17" x14ac:dyDescent="0.2">
      <c r="A7" t="str" cm="1">
        <f t="array" ref="A7">INDEX(TEAMLIST!A:A, ROW())</f>
        <v>SSRS</v>
      </c>
      <c r="B7" t="str" cm="1">
        <f t="array" ref="B7">INDEX(TEAMLIST!B:B, ROW())</f>
        <v>SaSaRaSa</v>
      </c>
      <c r="C7">
        <f>IFERROR(VLOOKUP($A7, W1D1M1!$A:$F, 6, FALSE), 0)</f>
        <v>0</v>
      </c>
      <c r="D7">
        <f>IFERROR(VLOOKUP($A7, W1D1M2!$A:$F, 6, FALSE), 0)</f>
        <v>0</v>
      </c>
      <c r="E7">
        <f>IFERROR(VLOOKUP($A7, W1D1M3!$A:$F, 6, FALSE), 0)</f>
        <v>0</v>
      </c>
      <c r="F7">
        <f>IFERROR(VLOOKUP($A7,#REF!, 6, FALSE), 0)</f>
        <v>0</v>
      </c>
      <c r="G7" s="4">
        <f t="shared" si="0"/>
        <v>0</v>
      </c>
      <c r="H7">
        <f t="shared" si="1"/>
        <v>4</v>
      </c>
      <c r="J7" t="str">
        <v>SBD</v>
      </c>
      <c r="K7" t="str">
        <v>Skibidy</v>
      </c>
      <c r="L7">
        <v>0</v>
      </c>
      <c r="M7">
        <v>0</v>
      </c>
      <c r="N7">
        <v>0</v>
      </c>
      <c r="O7">
        <v>0</v>
      </c>
      <c r="P7">
        <v>0</v>
      </c>
      <c r="Q7">
        <v>4</v>
      </c>
    </row>
    <row r="8" spans="1:17" x14ac:dyDescent="0.2">
      <c r="A8" t="str" cm="1">
        <f t="array" ref="A8">INDEX(TEAMLIST!A:A, ROW())</f>
        <v>OP</v>
      </c>
      <c r="B8" t="str" cm="1">
        <f t="array" ref="B8">INDEX(TEAMLIST!B:B, ROW())</f>
        <v>Onpara</v>
      </c>
      <c r="C8">
        <f>IFERROR(VLOOKUP($A8, W1D1M1!$A:$F, 6, FALSE), 0)</f>
        <v>0</v>
      </c>
      <c r="D8">
        <f>IFERROR(VLOOKUP($A8, W1D1M2!$A:$F, 6, FALSE), 0)</f>
        <v>0</v>
      </c>
      <c r="E8">
        <f>IFERROR(VLOOKUP($A8, W1D1M3!$A:$F, 6, FALSE), 0)</f>
        <v>0</v>
      </c>
      <c r="F8">
        <f>IFERROR(VLOOKUP($A8,#REF!, 6, FALSE), 0)</f>
        <v>0</v>
      </c>
      <c r="G8" s="4">
        <f t="shared" si="0"/>
        <v>0</v>
      </c>
      <c r="H8">
        <f t="shared" si="1"/>
        <v>4</v>
      </c>
      <c r="J8" t="str">
        <v>SSRS</v>
      </c>
      <c r="K8" t="str">
        <v>SaSaRaSa</v>
      </c>
      <c r="L8">
        <v>0</v>
      </c>
      <c r="M8">
        <v>0</v>
      </c>
      <c r="N8">
        <v>0</v>
      </c>
      <c r="O8">
        <v>0</v>
      </c>
      <c r="P8">
        <v>0</v>
      </c>
      <c r="Q8">
        <v>4</v>
      </c>
    </row>
    <row r="9" spans="1:17" x14ac:dyDescent="0.2">
      <c r="A9" t="str" cm="1">
        <f t="array" ref="A9">INDEX(TEAMLIST!A:A, ROW())</f>
        <v>NX</v>
      </c>
      <c r="B9" t="str" cm="1">
        <f t="array" ref="B9">INDEX(TEAMLIST!B:B, ROW())</f>
        <v>NoXe</v>
      </c>
      <c r="C9">
        <f>IFERROR(VLOOKUP($A9, W1D1M1!$A:$F, 6, FALSE), 0)</f>
        <v>0</v>
      </c>
      <c r="D9">
        <f>IFERROR(VLOOKUP($A9, W1D1M2!$A:$F, 6, FALSE), 0)</f>
        <v>0</v>
      </c>
      <c r="E9">
        <f>IFERROR(VLOOKUP($A9, W1D1M3!$A:$F, 6, FALSE), 0)</f>
        <v>0</v>
      </c>
      <c r="F9">
        <f>IFERROR(VLOOKUP($A9,#REF!, 6, FALSE), 0)</f>
        <v>0</v>
      </c>
      <c r="G9" s="4">
        <f t="shared" si="0"/>
        <v>0</v>
      </c>
      <c r="H9">
        <f t="shared" si="1"/>
        <v>4</v>
      </c>
      <c r="J9" t="str">
        <v>OP</v>
      </c>
      <c r="K9" t="str">
        <v>Onpara</v>
      </c>
      <c r="L9">
        <v>0</v>
      </c>
      <c r="M9">
        <v>0</v>
      </c>
      <c r="N9">
        <v>0</v>
      </c>
      <c r="O9">
        <v>0</v>
      </c>
      <c r="P9">
        <v>0</v>
      </c>
      <c r="Q9">
        <v>4</v>
      </c>
    </row>
    <row r="10" spans="1:17" x14ac:dyDescent="0.2">
      <c r="A10" t="str" cm="1">
        <f t="array" ref="A10">INDEX(TEAMLIST!A:A, ROW())</f>
        <v>SBZ</v>
      </c>
      <c r="B10" t="str" cm="1">
        <f t="array" ref="B10">INDEX(TEAMLIST!B:B, ROW())</f>
        <v>SEEBRAZ</v>
      </c>
      <c r="C10">
        <f>IFERROR(VLOOKUP($A10, W1D1M1!$A:$F, 6, FALSE), 0)</f>
        <v>0</v>
      </c>
      <c r="D10">
        <f>IFERROR(VLOOKUP($A10, W1D1M2!$A:$F, 6, FALSE), 0)</f>
        <v>0</v>
      </c>
      <c r="E10">
        <f>IFERROR(VLOOKUP($A10, W1D1M3!$A:$F, 6, FALSE), 0)</f>
        <v>0</v>
      </c>
      <c r="F10">
        <f>IFERROR(VLOOKUP($A10,#REF!, 6, FALSE), 0)</f>
        <v>0</v>
      </c>
      <c r="G10" s="4">
        <f t="shared" si="0"/>
        <v>0</v>
      </c>
      <c r="H10">
        <f t="shared" si="1"/>
        <v>4</v>
      </c>
      <c r="J10" t="str">
        <v>NX</v>
      </c>
      <c r="K10" t="str">
        <v>NoXe</v>
      </c>
      <c r="L10">
        <v>0</v>
      </c>
      <c r="M10">
        <v>0</v>
      </c>
      <c r="N10">
        <v>0</v>
      </c>
      <c r="O10">
        <v>0</v>
      </c>
      <c r="P10">
        <v>0</v>
      </c>
      <c r="Q10">
        <v>4</v>
      </c>
    </row>
    <row r="11" spans="1:17" x14ac:dyDescent="0.2">
      <c r="A11" t="str" cm="1">
        <f t="array" ref="A11">INDEX(TEAMLIST!A:A, ROW())</f>
        <v>FF</v>
      </c>
      <c r="B11" t="str" cm="1">
        <f t="array" ref="B11">INDEX(TEAMLIST!B:B, ROW())</f>
        <v>ff</v>
      </c>
      <c r="C11">
        <f>IFERROR(VLOOKUP($A11, W1D1M1!$A:$F, 6, FALSE), 0)</f>
        <v>0</v>
      </c>
      <c r="D11">
        <f>IFERROR(VLOOKUP($A11, W1D1M2!$A:$F, 6, FALSE), 0)</f>
        <v>0</v>
      </c>
      <c r="E11">
        <f>IFERROR(VLOOKUP($A11, W1D1M3!$A:$F, 6, FALSE), 0)</f>
        <v>0</v>
      </c>
      <c r="F11">
        <f>IFERROR(VLOOKUP($A11,#REF!, 6, FALSE), 0)</f>
        <v>0</v>
      </c>
      <c r="G11" s="4">
        <f t="shared" si="0"/>
        <v>0</v>
      </c>
      <c r="H11">
        <f t="shared" si="1"/>
        <v>4</v>
      </c>
      <c r="J11" t="str">
        <v>SBZ</v>
      </c>
      <c r="K11" t="str">
        <v>SEEBRAZ</v>
      </c>
      <c r="L11">
        <v>0</v>
      </c>
      <c r="M11">
        <v>0</v>
      </c>
      <c r="N11">
        <v>0</v>
      </c>
      <c r="O11">
        <v>0</v>
      </c>
      <c r="P11">
        <v>0</v>
      </c>
      <c r="Q11">
        <v>4</v>
      </c>
    </row>
    <row r="12" spans="1:17" x14ac:dyDescent="0.2">
      <c r="A12" t="str" cm="1">
        <f t="array" ref="A12">INDEX(TEAMLIST!A:A, ROW())</f>
        <v>SDF</v>
      </c>
      <c r="B12" t="str" cm="1">
        <f t="array" ref="B12">INDEX(TEAMLIST!B:B, ROW())</f>
        <v>sdfsdf</v>
      </c>
      <c r="C12">
        <f>IFERROR(VLOOKUP($A12, W1D1M1!$A:$F, 6, FALSE), 0)</f>
        <v>0</v>
      </c>
      <c r="D12">
        <f>IFERROR(VLOOKUP($A12, W1D1M2!$A:$F, 6, FALSE), 0)</f>
        <v>0</v>
      </c>
      <c r="E12">
        <f>IFERROR(VLOOKUP($A12, W1D1M3!$A:$F, 6, FALSE), 0)</f>
        <v>0</v>
      </c>
      <c r="F12">
        <f>IFERROR(VLOOKUP($A12,#REF!, 6, FALSE), 0)</f>
        <v>0</v>
      </c>
      <c r="G12" s="4">
        <f t="shared" si="0"/>
        <v>0</v>
      </c>
      <c r="H12">
        <f t="shared" si="1"/>
        <v>4</v>
      </c>
      <c r="J12" t="str">
        <v>FF</v>
      </c>
      <c r="K12" t="str">
        <v>ff</v>
      </c>
      <c r="L12">
        <v>0</v>
      </c>
      <c r="M12">
        <v>0</v>
      </c>
      <c r="N12">
        <v>0</v>
      </c>
      <c r="O12">
        <v>0</v>
      </c>
      <c r="P12">
        <v>0</v>
      </c>
      <c r="Q12">
        <v>4</v>
      </c>
    </row>
    <row r="13" spans="1:17" x14ac:dyDescent="0.2">
      <c r="A13" t="str" cm="1">
        <f t="array" ref="A13">INDEX(TEAMLIST!A:A, ROW())</f>
        <v>HHH</v>
      </c>
      <c r="B13" t="str" cm="1">
        <f t="array" ref="B13">INDEX(TEAMLIST!B:B, ROW())</f>
        <v>HHHH</v>
      </c>
      <c r="C13">
        <f>IFERROR(VLOOKUP($A13, W1D1M1!$A:$F, 6, FALSE), 0)</f>
        <v>0</v>
      </c>
      <c r="D13">
        <f>IFERROR(VLOOKUP($A13, W1D1M2!$A:$F, 6, FALSE), 0)</f>
        <v>0</v>
      </c>
      <c r="E13">
        <f>IFERROR(VLOOKUP($A13, W1D1M3!$A:$F, 6, FALSE), 0)</f>
        <v>0</v>
      </c>
      <c r="F13">
        <f>IFERROR(VLOOKUP($A13,#REF!, 6, FALSE), 0)</f>
        <v>0</v>
      </c>
      <c r="G13" s="4">
        <f t="shared" si="0"/>
        <v>0</v>
      </c>
      <c r="H13">
        <f t="shared" si="1"/>
        <v>4</v>
      </c>
      <c r="J13" t="str">
        <v>SDF</v>
      </c>
      <c r="K13" t="str">
        <v>sdfsdf</v>
      </c>
      <c r="L13">
        <v>0</v>
      </c>
      <c r="M13">
        <v>0</v>
      </c>
      <c r="N13">
        <v>0</v>
      </c>
      <c r="O13">
        <v>0</v>
      </c>
      <c r="P13">
        <v>0</v>
      </c>
      <c r="Q13">
        <v>4</v>
      </c>
    </row>
    <row r="14" spans="1:17" x14ac:dyDescent="0.2">
      <c r="A14" t="str" cm="1">
        <f t="array" ref="A14">INDEX(TEAMLIST!A:A, ROW())</f>
        <v>SSEE</v>
      </c>
      <c r="B14" t="str" cm="1">
        <f t="array" ref="B14">INDEX(TEAMLIST!B:B, ROW())</f>
        <v>SSEE</v>
      </c>
      <c r="C14">
        <f>IFERROR(VLOOKUP($A14, W1D1M1!$A:$F, 6, FALSE), 0)</f>
        <v>0</v>
      </c>
      <c r="D14">
        <f>IFERROR(VLOOKUP($A14, W1D1M2!$A:$F, 6, FALSE), 0)</f>
        <v>0</v>
      </c>
      <c r="E14">
        <f>IFERROR(VLOOKUP($A14, W1D1M3!$A:$F, 6, FALSE), 0)</f>
        <v>0</v>
      </c>
      <c r="F14">
        <f>IFERROR(VLOOKUP($A14,#REF!, 6, FALSE), 0)</f>
        <v>0</v>
      </c>
      <c r="G14" s="4">
        <f t="shared" si="0"/>
        <v>0</v>
      </c>
      <c r="H14">
        <f t="shared" si="1"/>
        <v>4</v>
      </c>
      <c r="J14" t="str">
        <v>HHH</v>
      </c>
      <c r="K14" t="str">
        <v>HHHH</v>
      </c>
      <c r="L14">
        <v>0</v>
      </c>
      <c r="M14">
        <v>0</v>
      </c>
      <c r="N14">
        <v>0</v>
      </c>
      <c r="O14">
        <v>0</v>
      </c>
      <c r="P14">
        <v>0</v>
      </c>
      <c r="Q14">
        <v>4</v>
      </c>
    </row>
    <row r="15" spans="1:17" x14ac:dyDescent="0.2">
      <c r="A15" t="str" cm="1">
        <f t="array" ref="A15">INDEX(TEAMLIST!A:A, ROW())</f>
        <v>RR</v>
      </c>
      <c r="B15" t="str" cm="1">
        <f t="array" ref="B15">INDEX(TEAMLIST!B:B, ROW())</f>
        <v>rr</v>
      </c>
      <c r="C15">
        <f>IFERROR(VLOOKUP($A15, W1D1M1!$A:$F, 6, FALSE), 0)</f>
        <v>5</v>
      </c>
      <c r="D15">
        <f>IFERROR(VLOOKUP($A15, W1D1M2!$A:$F, 6, FALSE), 0)</f>
        <v>0</v>
      </c>
      <c r="E15">
        <f>IFERROR(VLOOKUP($A15, W1D1M3!$A:$F, 6, FALSE), 0)</f>
        <v>0</v>
      </c>
      <c r="F15">
        <f>IFERROR(VLOOKUP($A15,#REF!, 6, FALSE), 0)</f>
        <v>0</v>
      </c>
      <c r="G15" s="4">
        <f t="shared" si="0"/>
        <v>5</v>
      </c>
      <c r="H15">
        <f t="shared" si="1"/>
        <v>1</v>
      </c>
      <c r="J15" t="str">
        <v>SSEE</v>
      </c>
      <c r="K15" t="str">
        <v>SSEE</v>
      </c>
      <c r="L15">
        <v>0</v>
      </c>
      <c r="M15">
        <v>0</v>
      </c>
      <c r="N15">
        <v>0</v>
      </c>
      <c r="O15">
        <v>0</v>
      </c>
      <c r="P15">
        <v>0</v>
      </c>
      <c r="Q15">
        <v>4</v>
      </c>
    </row>
    <row r="16" spans="1:17" x14ac:dyDescent="0.2">
      <c r="A16" t="str" cm="1">
        <f t="array" ref="A16">INDEX(TEAMLIST!A:A, ROW())</f>
        <v>www</v>
      </c>
      <c r="B16" t="str" cm="1">
        <f t="array" ref="B16">INDEX(TEAMLIST!B:B, ROW())</f>
        <v>wwww</v>
      </c>
      <c r="C16">
        <f>IFERROR(VLOOKUP($A16, W1D1M1!$A:$F, 6, FALSE), 0)</f>
        <v>0</v>
      </c>
      <c r="D16">
        <f>IFERROR(VLOOKUP($A16, W1D1M2!$A:$F, 6, FALSE), 0)</f>
        <v>0</v>
      </c>
      <c r="E16">
        <f>IFERROR(VLOOKUP($A16, W1D1M3!$A:$F, 6, FALSE), 0)</f>
        <v>0</v>
      </c>
      <c r="F16">
        <f>IFERROR(VLOOKUP($A16,#REF!, 6, FALSE), 0)</f>
        <v>0</v>
      </c>
      <c r="G16" s="4">
        <f t="shared" si="0"/>
        <v>0</v>
      </c>
      <c r="H16">
        <f t="shared" si="1"/>
        <v>4</v>
      </c>
      <c r="J16" t="str">
        <v>www</v>
      </c>
      <c r="K16" t="str">
        <v>wwww</v>
      </c>
      <c r="L16">
        <v>0</v>
      </c>
      <c r="M16">
        <v>0</v>
      </c>
      <c r="N16">
        <v>0</v>
      </c>
      <c r="O16">
        <v>0</v>
      </c>
      <c r="P16">
        <v>0</v>
      </c>
      <c r="Q16">
        <v>4</v>
      </c>
    </row>
    <row r="17" spans="1:17" x14ac:dyDescent="0.2">
      <c r="A17" t="str" cm="1">
        <f t="array" ref="A17">INDEX(TEAMLIST!A:A, ROW())</f>
        <v>ASFA</v>
      </c>
      <c r="B17" t="str" cm="1">
        <f t="array" ref="B17">INDEX(TEAMLIST!B:B, ROW())</f>
        <v>asfasadsd</v>
      </c>
      <c r="C17">
        <f>IFERROR(VLOOKUP($A17, W1D1M1!$A:$F, 6, FALSE), 0)</f>
        <v>0</v>
      </c>
      <c r="D17">
        <f>IFERROR(VLOOKUP($A17, W1D1M2!$A:$F, 6, FALSE), 0)</f>
        <v>0</v>
      </c>
      <c r="E17">
        <f>IFERROR(VLOOKUP($A17, W1D1M3!$A:$F, 6, FALSE), 0)</f>
        <v>0</v>
      </c>
      <c r="F17">
        <f>IFERROR(VLOOKUP($A17,#REF!, 6, FALSE), 0)</f>
        <v>0</v>
      </c>
      <c r="G17" s="4">
        <f t="shared" si="0"/>
        <v>0</v>
      </c>
      <c r="H17">
        <f t="shared" si="1"/>
        <v>4</v>
      </c>
      <c r="J17" t="str">
        <v>ASFA</v>
      </c>
      <c r="K17" t="str">
        <v>asfasadsd</v>
      </c>
      <c r="L17">
        <v>0</v>
      </c>
      <c r="M17">
        <v>0</v>
      </c>
      <c r="N17">
        <v>0</v>
      </c>
      <c r="O17">
        <v>0</v>
      </c>
      <c r="P17">
        <v>0</v>
      </c>
      <c r="Q1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11411-9407-45F0-81B4-3EDA27B21178}">
  <sheetPr>
    <tabColor rgb="FFFFC000"/>
  </sheetPr>
  <dimension ref="A1:Q17"/>
  <sheetViews>
    <sheetView workbookViewId="0">
      <selection activeCell="J2" sqref="J2"/>
    </sheetView>
  </sheetViews>
  <sheetFormatPr defaultRowHeight="14.25" x14ac:dyDescent="0.2"/>
  <sheetData>
    <row r="1" spans="1:17" ht="33.75" thickBot="1" x14ac:dyDescent="0.25">
      <c r="A1" s="9" t="s">
        <v>79</v>
      </c>
      <c r="B1" s="9" t="s">
        <v>74</v>
      </c>
      <c r="C1" s="9" t="s">
        <v>84</v>
      </c>
      <c r="D1" s="9" t="s">
        <v>85</v>
      </c>
      <c r="E1" s="9" t="s">
        <v>86</v>
      </c>
      <c r="F1" s="9" t="s">
        <v>88</v>
      </c>
      <c r="G1" s="9" t="s">
        <v>87</v>
      </c>
      <c r="H1" s="9" t="s">
        <v>80</v>
      </c>
    </row>
    <row r="2" spans="1:17" ht="15" thickTop="1" x14ac:dyDescent="0.2">
      <c r="A2" t="str" cm="1">
        <f t="array" ref="A2">INDEX(TEAMLIST!A:A, ROW())</f>
        <v>AWD</v>
      </c>
      <c r="B2" t="str" cm="1">
        <f t="array" ref="B2">INDEX(TEAMLIST!B:B, ROW())</f>
        <v>Award</v>
      </c>
      <c r="C2">
        <f>IFERROR(VLOOKUP($A2, W1D2M1!$A:$F, 6, FALSE), 0)</f>
        <v>0</v>
      </c>
      <c r="D2">
        <f>IFERROR(VLOOKUP($A2, W1D2M2!$A:$F, 6, FALSE), 0)</f>
        <v>0</v>
      </c>
      <c r="E2" t="str">
        <f>IFERROR(INDEX('DAY SUMMARY W1D1'!A:A, MATCH($A2,'DAY SUMMARY W1D1'!H:H,0)), "")</f>
        <v/>
      </c>
      <c r="F2">
        <f>IFERROR(VLOOKUP($A2,#REF!, 6, FALSE), 0)</f>
        <v>0</v>
      </c>
      <c r="G2" s="4">
        <f>SUM(C2:F2)</f>
        <v>0</v>
      </c>
      <c r="H2">
        <f>IFERROR(RANK(G2,$G$2:$G$17,0),0)</f>
        <v>1</v>
      </c>
      <c r="J2" t="str" cm="1">
        <f t="array" ref="J2:Q17">_xlfn._xlws.SORT(A2:H17, 8, 1)</f>
        <v>AWD</v>
      </c>
      <c r="K2" t="str">
        <v>Award</v>
      </c>
      <c r="L2">
        <v>0</v>
      </c>
      <c r="M2">
        <v>0</v>
      </c>
      <c r="N2" t="str">
        <v/>
      </c>
      <c r="O2">
        <v>0</v>
      </c>
      <c r="P2">
        <v>0</v>
      </c>
      <c r="Q2">
        <v>1</v>
      </c>
    </row>
    <row r="3" spans="1:17" x14ac:dyDescent="0.2">
      <c r="A3" t="str" cm="1">
        <f t="array" ref="A3">INDEX(TEAMLIST!A:A, ROW())</f>
        <v>BOS</v>
      </c>
      <c r="B3" t="str" cm="1">
        <f t="array" ref="B3">INDEX(TEAMLIST!B:B, ROW())</f>
        <v>BOSS</v>
      </c>
      <c r="C3">
        <f>IFERROR(VLOOKUP($A3, W1D2M1!$A:$F, 6, FALSE), 0)</f>
        <v>0</v>
      </c>
      <c r="D3">
        <f>IFERROR(VLOOKUP($A3, W1D2M2!$A:$F, 6, FALSE), 0)</f>
        <v>0</v>
      </c>
      <c r="E3">
        <f>IFERROR(VLOOKUP($A3, W1D2M3!$A:$F, 6, FALSE), 0)</f>
        <v>0</v>
      </c>
      <c r="F3">
        <f>IFERROR(VLOOKUP($A3,#REF!, 6, FALSE), 0)</f>
        <v>0</v>
      </c>
      <c r="G3" s="4">
        <f t="shared" ref="G3:G17" si="0">SUM(C3:F3)</f>
        <v>0</v>
      </c>
      <c r="H3">
        <f t="shared" ref="H3:H17" si="1">IFERROR(RANK(G3,$G$2:$G$17,0),0)</f>
        <v>1</v>
      </c>
      <c r="J3" t="str">
        <v>BOS</v>
      </c>
      <c r="K3" t="str">
        <v>BOSS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</row>
    <row r="4" spans="1:17" x14ac:dyDescent="0.2">
      <c r="A4" t="str" cm="1">
        <f t="array" ref="A4">INDEX(TEAMLIST!A:A, ROW())</f>
        <v>NVD</v>
      </c>
      <c r="B4" t="str" cm="1">
        <f t="array" ref="B4">INDEX(TEAMLIST!B:B, ROW())</f>
        <v>NerverDIe</v>
      </c>
      <c r="C4">
        <f>IFERROR(VLOOKUP($A4, W1D2M1!$A:$F, 6, FALSE), 0)</f>
        <v>0</v>
      </c>
      <c r="D4">
        <f>IFERROR(VLOOKUP($A4, W1D2M2!$A:$F, 6, FALSE), 0)</f>
        <v>0</v>
      </c>
      <c r="E4">
        <f>IFERROR(VLOOKUP($A4, W1D2M3!$A:$F, 6, FALSE), 0)</f>
        <v>0</v>
      </c>
      <c r="F4">
        <f>IFERROR(VLOOKUP($A4,#REF!, 6, FALSE), 0)</f>
        <v>0</v>
      </c>
      <c r="G4" s="4">
        <f t="shared" si="0"/>
        <v>0</v>
      </c>
      <c r="H4">
        <f t="shared" si="1"/>
        <v>1</v>
      </c>
      <c r="J4" t="str">
        <v>NVD</v>
      </c>
      <c r="K4" t="str">
        <v>NerverDIe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 x14ac:dyDescent="0.2">
      <c r="A5" t="str" cm="1">
        <f t="array" ref="A5">INDEX(TEAMLIST!A:A, ROW())</f>
        <v>SBD</v>
      </c>
      <c r="B5" t="str" cm="1">
        <f t="array" ref="B5">INDEX(TEAMLIST!B:B, ROW())</f>
        <v>Skibidy</v>
      </c>
      <c r="C5">
        <f>IFERROR(VLOOKUP($A5, W1D2M1!$A:$F, 6, FALSE), 0)</f>
        <v>0</v>
      </c>
      <c r="D5">
        <f>IFERROR(VLOOKUP($A5, W1D2M2!$A:$F, 6, FALSE), 0)</f>
        <v>0</v>
      </c>
      <c r="E5">
        <f>IFERROR(VLOOKUP($A5, W1D2M3!$A:$F, 6, FALSE), 0)</f>
        <v>0</v>
      </c>
      <c r="F5">
        <f>IFERROR(VLOOKUP($A5,#REF!, 6, FALSE), 0)</f>
        <v>0</v>
      </c>
      <c r="G5" s="4">
        <f t="shared" si="0"/>
        <v>0</v>
      </c>
      <c r="H5">
        <f t="shared" si="1"/>
        <v>1</v>
      </c>
      <c r="J5" t="str">
        <v>SBD</v>
      </c>
      <c r="K5" t="str">
        <v>Skibidy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</row>
    <row r="6" spans="1:17" x14ac:dyDescent="0.2">
      <c r="A6" t="str" cm="1">
        <f t="array" ref="A6">INDEX(TEAMLIST!A:A, ROW())</f>
        <v>RD</v>
      </c>
      <c r="B6" t="str" cm="1">
        <f t="array" ref="B6">INDEX(TEAMLIST!B:B, ROW())</f>
        <v>Raddom</v>
      </c>
      <c r="C6">
        <f>IFERROR(VLOOKUP($A6, W1D2M1!$A:$F, 6, FALSE), 0)</f>
        <v>0</v>
      </c>
      <c r="D6">
        <f>IFERROR(VLOOKUP($A6, W1D2M2!$A:$F, 6, FALSE), 0)</f>
        <v>0</v>
      </c>
      <c r="E6">
        <f>IFERROR(VLOOKUP($A6, W1D2M3!$A:$F, 6, FALSE), 0)</f>
        <v>0</v>
      </c>
      <c r="F6">
        <f>IFERROR(VLOOKUP($A6,#REF!, 6, FALSE), 0)</f>
        <v>0</v>
      </c>
      <c r="G6" s="4">
        <f t="shared" si="0"/>
        <v>0</v>
      </c>
      <c r="H6">
        <f t="shared" si="1"/>
        <v>1</v>
      </c>
      <c r="J6" t="str">
        <v>RD</v>
      </c>
      <c r="K6" t="str">
        <v>Raddom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 x14ac:dyDescent="0.2">
      <c r="A7" t="str" cm="1">
        <f t="array" ref="A7">INDEX(TEAMLIST!A:A, ROW())</f>
        <v>SSRS</v>
      </c>
      <c r="B7" t="str" cm="1">
        <f t="array" ref="B7">INDEX(TEAMLIST!B:B, ROW())</f>
        <v>SaSaRaSa</v>
      </c>
      <c r="C7">
        <f>IFERROR(VLOOKUP($A7, W1D2M1!$A:$F, 6, FALSE), 0)</f>
        <v>0</v>
      </c>
      <c r="D7">
        <f>IFERROR(VLOOKUP($A7, W1D2M2!$A:$F, 6, FALSE), 0)</f>
        <v>0</v>
      </c>
      <c r="E7">
        <f>IFERROR(VLOOKUP($A7, W1D2M3!$A:$F, 6, FALSE), 0)</f>
        <v>0</v>
      </c>
      <c r="F7">
        <f>IFERROR(VLOOKUP($A7,#REF!, 6, FALSE), 0)</f>
        <v>0</v>
      </c>
      <c r="G7" s="4">
        <f t="shared" si="0"/>
        <v>0</v>
      </c>
      <c r="H7">
        <f t="shared" si="1"/>
        <v>1</v>
      </c>
      <c r="J7" t="str">
        <v>SSRS</v>
      </c>
      <c r="K7" t="str">
        <v>SaSaRaSa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 x14ac:dyDescent="0.2">
      <c r="A8" t="str" cm="1">
        <f t="array" ref="A8">INDEX(TEAMLIST!A:A, ROW())</f>
        <v>OP</v>
      </c>
      <c r="B8" t="str" cm="1">
        <f t="array" ref="B8">INDEX(TEAMLIST!B:B, ROW())</f>
        <v>Onpara</v>
      </c>
      <c r="C8">
        <f>IFERROR(VLOOKUP($A8, W1D2M1!$A:$F, 6, FALSE), 0)</f>
        <v>0</v>
      </c>
      <c r="D8">
        <f>IFERROR(VLOOKUP($A8, W1D2M2!$A:$F, 6, FALSE), 0)</f>
        <v>0</v>
      </c>
      <c r="E8">
        <f>IFERROR(VLOOKUP($A8, W1D2M3!$A:$F, 6, FALSE), 0)</f>
        <v>0</v>
      </c>
      <c r="F8">
        <f>IFERROR(VLOOKUP($A8,#REF!, 6, FALSE), 0)</f>
        <v>0</v>
      </c>
      <c r="G8" s="4">
        <f t="shared" si="0"/>
        <v>0</v>
      </c>
      <c r="H8">
        <f t="shared" si="1"/>
        <v>1</v>
      </c>
      <c r="J8" t="str">
        <v>OP</v>
      </c>
      <c r="K8" t="str">
        <v>Onpara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 x14ac:dyDescent="0.2">
      <c r="A9" t="str" cm="1">
        <f t="array" ref="A9">INDEX(TEAMLIST!A:A, ROW())</f>
        <v>NX</v>
      </c>
      <c r="B9" t="str" cm="1">
        <f t="array" ref="B9">INDEX(TEAMLIST!B:B, ROW())</f>
        <v>NoXe</v>
      </c>
      <c r="C9">
        <f>IFERROR(VLOOKUP($A9, W1D2M1!$A:$F, 6, FALSE), 0)</f>
        <v>0</v>
      </c>
      <c r="D9">
        <f>IFERROR(VLOOKUP($A9, W1D2M2!$A:$F, 6, FALSE), 0)</f>
        <v>0</v>
      </c>
      <c r="E9">
        <f>IFERROR(VLOOKUP($A9, W1D2M3!$A:$F, 6, FALSE), 0)</f>
        <v>0</v>
      </c>
      <c r="F9">
        <f>IFERROR(VLOOKUP($A9,#REF!, 6, FALSE), 0)</f>
        <v>0</v>
      </c>
      <c r="G9" s="4">
        <f t="shared" si="0"/>
        <v>0</v>
      </c>
      <c r="H9">
        <f t="shared" si="1"/>
        <v>1</v>
      </c>
      <c r="J9" t="str">
        <v>NX</v>
      </c>
      <c r="K9" t="str">
        <v>NoXe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 x14ac:dyDescent="0.2">
      <c r="A10" t="str" cm="1">
        <f t="array" ref="A10">INDEX(TEAMLIST!A:A, ROW())</f>
        <v>SBZ</v>
      </c>
      <c r="B10" t="str" cm="1">
        <f t="array" ref="B10">INDEX(TEAMLIST!B:B, ROW())</f>
        <v>SEEBRAZ</v>
      </c>
      <c r="C10">
        <f>IFERROR(VLOOKUP($A10, W1D2M1!$A:$F, 6, FALSE), 0)</f>
        <v>0</v>
      </c>
      <c r="D10">
        <f>IFERROR(VLOOKUP($A10, W1D2M2!$A:$F, 6, FALSE), 0)</f>
        <v>0</v>
      </c>
      <c r="E10">
        <f>IFERROR(VLOOKUP($A10, W1D2M3!$A:$F, 6, FALSE), 0)</f>
        <v>0</v>
      </c>
      <c r="F10">
        <f>IFERROR(VLOOKUP($A10,#REF!, 6, FALSE), 0)</f>
        <v>0</v>
      </c>
      <c r="G10" s="4">
        <f t="shared" si="0"/>
        <v>0</v>
      </c>
      <c r="H10">
        <f t="shared" si="1"/>
        <v>1</v>
      </c>
      <c r="J10" t="str">
        <v>SBZ</v>
      </c>
      <c r="K10" t="str">
        <v>SEEBRAZ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 x14ac:dyDescent="0.2">
      <c r="A11" t="str" cm="1">
        <f t="array" ref="A11">INDEX(TEAMLIST!A:A, ROW())</f>
        <v>FF</v>
      </c>
      <c r="B11" t="str" cm="1">
        <f t="array" ref="B11">INDEX(TEAMLIST!B:B, ROW())</f>
        <v>ff</v>
      </c>
      <c r="C11">
        <f>IFERROR(VLOOKUP($A11, W1D2M1!$A:$F, 6, FALSE), 0)</f>
        <v>0</v>
      </c>
      <c r="D11">
        <f>IFERROR(VLOOKUP($A11, W1D2M2!$A:$F, 6, FALSE), 0)</f>
        <v>0</v>
      </c>
      <c r="E11">
        <f>IFERROR(VLOOKUP($A11, W1D2M3!$A:$F, 6, FALSE), 0)</f>
        <v>0</v>
      </c>
      <c r="F11">
        <f>IFERROR(VLOOKUP($A11,#REF!, 6, FALSE), 0)</f>
        <v>0</v>
      </c>
      <c r="G11" s="4">
        <f t="shared" si="0"/>
        <v>0</v>
      </c>
      <c r="H11">
        <f t="shared" si="1"/>
        <v>1</v>
      </c>
      <c r="J11" t="str">
        <v>FF</v>
      </c>
      <c r="K11" t="str">
        <v>ff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  <row r="12" spans="1:17" x14ac:dyDescent="0.2">
      <c r="A12" t="str" cm="1">
        <f t="array" ref="A12">INDEX(TEAMLIST!A:A, ROW())</f>
        <v>SDF</v>
      </c>
      <c r="B12" t="str" cm="1">
        <f t="array" ref="B12">INDEX(TEAMLIST!B:B, ROW())</f>
        <v>sdfsdf</v>
      </c>
      <c r="C12">
        <f>IFERROR(VLOOKUP($A12, W1D2M1!$A:$F, 6, FALSE), 0)</f>
        <v>0</v>
      </c>
      <c r="D12">
        <f>IFERROR(VLOOKUP($A12, W1D2M2!$A:$F, 6, FALSE), 0)</f>
        <v>0</v>
      </c>
      <c r="E12">
        <f>IFERROR(VLOOKUP($A12, W1D2M3!$A:$F, 6, FALSE), 0)</f>
        <v>0</v>
      </c>
      <c r="F12">
        <f>IFERROR(VLOOKUP($A12,#REF!, 6, FALSE), 0)</f>
        <v>0</v>
      </c>
      <c r="G12" s="4">
        <f t="shared" si="0"/>
        <v>0</v>
      </c>
      <c r="H12">
        <f t="shared" si="1"/>
        <v>1</v>
      </c>
      <c r="J12" t="str">
        <v>SDF</v>
      </c>
      <c r="K12" t="str">
        <v>sdfsdf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</row>
    <row r="13" spans="1:17" x14ac:dyDescent="0.2">
      <c r="A13" t="str" cm="1">
        <f t="array" ref="A13">INDEX(TEAMLIST!A:A, ROW())</f>
        <v>HHH</v>
      </c>
      <c r="B13" t="str" cm="1">
        <f t="array" ref="B13">INDEX(TEAMLIST!B:B, ROW())</f>
        <v>HHHH</v>
      </c>
      <c r="C13">
        <f>IFERROR(VLOOKUP($A13, W1D2M1!$A:$F, 6, FALSE), 0)</f>
        <v>0</v>
      </c>
      <c r="D13">
        <f>IFERROR(VLOOKUP($A13, W1D2M2!$A:$F, 6, FALSE), 0)</f>
        <v>0</v>
      </c>
      <c r="E13">
        <f>IFERROR(VLOOKUP($A13, W1D2M3!$A:$F, 6, FALSE), 0)</f>
        <v>0</v>
      </c>
      <c r="F13">
        <f>IFERROR(VLOOKUP($A13,#REF!, 6, FALSE), 0)</f>
        <v>0</v>
      </c>
      <c r="G13" s="4">
        <f t="shared" si="0"/>
        <v>0</v>
      </c>
      <c r="H13">
        <f t="shared" si="1"/>
        <v>1</v>
      </c>
      <c r="J13" t="str">
        <v>HHH</v>
      </c>
      <c r="K13" t="str">
        <v>HHHH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</row>
    <row r="14" spans="1:17" x14ac:dyDescent="0.2">
      <c r="A14" t="str" cm="1">
        <f t="array" ref="A14">INDEX(TEAMLIST!A:A, ROW())</f>
        <v>SSEE</v>
      </c>
      <c r="B14" t="str" cm="1">
        <f t="array" ref="B14">INDEX(TEAMLIST!B:B, ROW())</f>
        <v>SSEE</v>
      </c>
      <c r="C14">
        <f>IFERROR(VLOOKUP($A14, W1D2M1!$A:$F, 6, FALSE), 0)</f>
        <v>0</v>
      </c>
      <c r="D14">
        <f>IFERROR(VLOOKUP($A14, W1D2M2!$A:$F, 6, FALSE), 0)</f>
        <v>0</v>
      </c>
      <c r="E14">
        <f>IFERROR(VLOOKUP($A14, W1D2M3!$A:$F, 6, FALSE), 0)</f>
        <v>0</v>
      </c>
      <c r="F14">
        <f>IFERROR(VLOOKUP($A14,#REF!, 6, FALSE), 0)</f>
        <v>0</v>
      </c>
      <c r="G14" s="4">
        <f t="shared" si="0"/>
        <v>0</v>
      </c>
      <c r="H14">
        <f t="shared" si="1"/>
        <v>1</v>
      </c>
      <c r="J14" t="str">
        <v>SSEE</v>
      </c>
      <c r="K14" t="str">
        <v>SSEE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</row>
    <row r="15" spans="1:17" x14ac:dyDescent="0.2">
      <c r="A15" t="str" cm="1">
        <f t="array" ref="A15">INDEX(TEAMLIST!A:A, ROW())</f>
        <v>RR</v>
      </c>
      <c r="B15" t="str" cm="1">
        <f t="array" ref="B15">INDEX(TEAMLIST!B:B, ROW())</f>
        <v>rr</v>
      </c>
      <c r="C15">
        <f>IFERROR(VLOOKUP($A15, W1D2M1!$A:$F, 6, FALSE), 0)</f>
        <v>0</v>
      </c>
      <c r="D15">
        <f>IFERROR(VLOOKUP($A15, W1D2M2!$A:$F, 6, FALSE), 0)</f>
        <v>0</v>
      </c>
      <c r="E15">
        <f>IFERROR(VLOOKUP($A15, W1D2M3!$A:$F, 6, FALSE), 0)</f>
        <v>0</v>
      </c>
      <c r="F15">
        <f>IFERROR(VLOOKUP($A15,#REF!, 6, FALSE), 0)</f>
        <v>0</v>
      </c>
      <c r="G15" s="4">
        <f t="shared" si="0"/>
        <v>0</v>
      </c>
      <c r="H15">
        <f t="shared" si="1"/>
        <v>1</v>
      </c>
      <c r="J15" t="str">
        <v>RR</v>
      </c>
      <c r="K15" t="str">
        <v>rr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</row>
    <row r="16" spans="1:17" x14ac:dyDescent="0.2">
      <c r="A16" t="str" cm="1">
        <f t="array" ref="A16">INDEX(TEAMLIST!A:A, ROW())</f>
        <v>www</v>
      </c>
      <c r="B16" t="str" cm="1">
        <f t="array" ref="B16">INDEX(TEAMLIST!B:B, ROW())</f>
        <v>wwww</v>
      </c>
      <c r="C16">
        <f>IFERROR(VLOOKUP($A16, W1D2M1!$A:$F, 6, FALSE), 0)</f>
        <v>0</v>
      </c>
      <c r="D16">
        <f>IFERROR(VLOOKUP($A16, W1D2M2!$A:$F, 6, FALSE), 0)</f>
        <v>0</v>
      </c>
      <c r="E16">
        <f>IFERROR(VLOOKUP($A16, W1D2M3!$A:$F, 6, FALSE), 0)</f>
        <v>0</v>
      </c>
      <c r="F16">
        <f>IFERROR(VLOOKUP($A16,#REF!, 6, FALSE), 0)</f>
        <v>0</v>
      </c>
      <c r="G16" s="4">
        <f t="shared" si="0"/>
        <v>0</v>
      </c>
      <c r="H16">
        <f t="shared" si="1"/>
        <v>1</v>
      </c>
      <c r="J16" t="str">
        <v>www</v>
      </c>
      <c r="K16" t="str">
        <v>wwww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</row>
    <row r="17" spans="1:17" x14ac:dyDescent="0.2">
      <c r="A17" t="str" cm="1">
        <f t="array" ref="A17">INDEX(TEAMLIST!A:A, ROW())</f>
        <v>ASFA</v>
      </c>
      <c r="B17" t="str" cm="1">
        <f t="array" ref="B17">INDEX(TEAMLIST!B:B, ROW())</f>
        <v>asfasadsd</v>
      </c>
      <c r="C17">
        <f>IFERROR(VLOOKUP($A17, W1D2M1!$A:$F, 6, FALSE), 0)</f>
        <v>0</v>
      </c>
      <c r="D17">
        <f>IFERROR(VLOOKUP($A17, W1D2M2!$A:$F, 6, FALSE), 0)</f>
        <v>0</v>
      </c>
      <c r="E17">
        <f>IFERROR(VLOOKUP($A17, W1D2M3!$A:$F, 6, FALSE), 0)</f>
        <v>0</v>
      </c>
      <c r="F17">
        <f>IFERROR(VLOOKUP($A17,#REF!, 6, FALSE), 0)</f>
        <v>0</v>
      </c>
      <c r="G17" s="4">
        <f t="shared" si="0"/>
        <v>0</v>
      </c>
      <c r="H17">
        <f t="shared" si="1"/>
        <v>1</v>
      </c>
      <c r="J17" t="str">
        <v>ASFA</v>
      </c>
      <c r="K17" t="str">
        <v>asfasadsd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43A7D-799E-45E3-9191-6884EB76EFEF}">
  <sheetPr>
    <tabColor rgb="FFFFC000"/>
  </sheetPr>
  <dimension ref="A1:Q17"/>
  <sheetViews>
    <sheetView workbookViewId="0">
      <selection activeCell="F2" sqref="F2"/>
    </sheetView>
  </sheetViews>
  <sheetFormatPr defaultRowHeight="14.25" x14ac:dyDescent="0.2"/>
  <sheetData>
    <row r="1" spans="1:17" ht="33.75" thickBot="1" x14ac:dyDescent="0.25">
      <c r="A1" s="9" t="s">
        <v>79</v>
      </c>
      <c r="B1" s="9" t="s">
        <v>74</v>
      </c>
      <c r="C1" s="9" t="s">
        <v>84</v>
      </c>
      <c r="D1" s="9" t="s">
        <v>85</v>
      </c>
      <c r="E1" s="9" t="s">
        <v>86</v>
      </c>
      <c r="F1" s="9" t="s">
        <v>88</v>
      </c>
      <c r="G1" s="9" t="s">
        <v>87</v>
      </c>
      <c r="H1" s="9" t="s">
        <v>80</v>
      </c>
    </row>
    <row r="2" spans="1:17" ht="15" thickTop="1" x14ac:dyDescent="0.2">
      <c r="A2" t="str" cm="1">
        <f t="array" ref="A2">INDEX(TEAMLIST!A:A, ROW())</f>
        <v>AWD</v>
      </c>
      <c r="B2" t="str" cm="1">
        <f t="array" ref="B2">INDEX(TEAMLIST!B:B, ROW())</f>
        <v>Award</v>
      </c>
      <c r="C2">
        <f>IFERROR(VLOOKUP($A2, W2D1M1!$A:$F, 6, FALSE), 0)</f>
        <v>0</v>
      </c>
      <c r="D2">
        <f>IFERROR(VLOOKUP($A2, W2D1M2!$A:$F, 6, FALSE), 0)</f>
        <v>0</v>
      </c>
      <c r="E2">
        <f>IFERROR(VLOOKUP($A2, W2D1M3!$A:$F, 6, FALSE), 0)</f>
        <v>0</v>
      </c>
      <c r="F2">
        <f>IFERROR(VLOOKUP($A2,#REF!, 6, FALSE), 0)</f>
        <v>0</v>
      </c>
      <c r="G2" s="4">
        <f>SUM(C2:F2)</f>
        <v>0</v>
      </c>
      <c r="H2">
        <f>IFERROR(RANK(G2,$G$2:$G$17,0),0)</f>
        <v>1</v>
      </c>
      <c r="J2" t="str" cm="1">
        <f t="array" ref="J2:Q17">_xlfn._xlws.SORT(A2:H17, 8, 1)</f>
        <v>AWD</v>
      </c>
      <c r="K2" t="str">
        <v>Award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</row>
    <row r="3" spans="1:17" x14ac:dyDescent="0.2">
      <c r="A3" t="str" cm="1">
        <f t="array" ref="A3">INDEX(TEAMLIST!A:A, ROW())</f>
        <v>BOS</v>
      </c>
      <c r="B3" t="str" cm="1">
        <f t="array" ref="B3">INDEX(TEAMLIST!B:B, ROW())</f>
        <v>BOSS</v>
      </c>
      <c r="C3">
        <f>IFERROR(VLOOKUP($A3, W2D1M1!$A:$F, 6, FALSE), 0)</f>
        <v>0</v>
      </c>
      <c r="D3">
        <f>IFERROR(VLOOKUP($A3, W2D1M2!$A:$F, 6, FALSE), 0)</f>
        <v>0</v>
      </c>
      <c r="E3">
        <f>IFERROR(VLOOKUP($A3, W2D1M3!$A:$F, 6, FALSE), 0)</f>
        <v>0</v>
      </c>
      <c r="F3">
        <f>IFERROR(VLOOKUP($A3,#REF!, 6, FALSE), 0)</f>
        <v>0</v>
      </c>
      <c r="G3" s="4">
        <f t="shared" ref="G3:G17" si="0">SUM(C3:F3)</f>
        <v>0</v>
      </c>
      <c r="H3">
        <f t="shared" ref="H3:H17" si="1">IFERROR(RANK(G3,$G$2:$G$17,0),0)</f>
        <v>1</v>
      </c>
      <c r="J3" t="str">
        <v>BOS</v>
      </c>
      <c r="K3" t="str">
        <v>BOSS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</row>
    <row r="4" spans="1:17" x14ac:dyDescent="0.2">
      <c r="A4" t="str" cm="1">
        <f t="array" ref="A4">INDEX(TEAMLIST!A:A, ROW())</f>
        <v>NVD</v>
      </c>
      <c r="B4" t="str" cm="1">
        <f t="array" ref="B4">INDEX(TEAMLIST!B:B, ROW())</f>
        <v>NerverDIe</v>
      </c>
      <c r="C4">
        <f>IFERROR(VLOOKUP($A4, W2D1M1!$A:$F, 6, FALSE), 0)</f>
        <v>0</v>
      </c>
      <c r="D4">
        <f>IFERROR(VLOOKUP($A4, W2D1M2!$A:$F, 6, FALSE), 0)</f>
        <v>0</v>
      </c>
      <c r="E4">
        <f>IFERROR(VLOOKUP($A4, W2D1M3!$A:$F, 6, FALSE), 0)</f>
        <v>0</v>
      </c>
      <c r="F4">
        <f>IFERROR(VLOOKUP($A4,#REF!, 6, FALSE), 0)</f>
        <v>0</v>
      </c>
      <c r="G4" s="4">
        <f t="shared" si="0"/>
        <v>0</v>
      </c>
      <c r="H4">
        <f t="shared" si="1"/>
        <v>1</v>
      </c>
      <c r="J4" t="str">
        <v>NVD</v>
      </c>
      <c r="K4" t="str">
        <v>NerverDIe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 x14ac:dyDescent="0.2">
      <c r="A5" t="str" cm="1">
        <f t="array" ref="A5">INDEX(TEAMLIST!A:A, ROW())</f>
        <v>SBD</v>
      </c>
      <c r="B5" t="str" cm="1">
        <f t="array" ref="B5">INDEX(TEAMLIST!B:B, ROW())</f>
        <v>Skibidy</v>
      </c>
      <c r="C5">
        <f>IFERROR(VLOOKUP($A5, W2D1M1!$A:$F, 6, FALSE), 0)</f>
        <v>0</v>
      </c>
      <c r="D5">
        <f>IFERROR(VLOOKUP($A5, W2D1M2!$A:$F, 6, FALSE), 0)</f>
        <v>0</v>
      </c>
      <c r="E5">
        <f>IFERROR(VLOOKUP($A5, W2D1M3!$A:$F, 6, FALSE), 0)</f>
        <v>0</v>
      </c>
      <c r="F5">
        <f>IFERROR(VLOOKUP($A5,#REF!, 6, FALSE), 0)</f>
        <v>0</v>
      </c>
      <c r="G5" s="4">
        <f t="shared" si="0"/>
        <v>0</v>
      </c>
      <c r="H5">
        <f t="shared" si="1"/>
        <v>1</v>
      </c>
      <c r="J5" t="str">
        <v>SBD</v>
      </c>
      <c r="K5" t="str">
        <v>Skibidy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</row>
    <row r="6" spans="1:17" x14ac:dyDescent="0.2">
      <c r="A6" t="str" cm="1">
        <f t="array" ref="A6">INDEX(TEAMLIST!A:A, ROW())</f>
        <v>RD</v>
      </c>
      <c r="B6" t="str" cm="1">
        <f t="array" ref="B6">INDEX(TEAMLIST!B:B, ROW())</f>
        <v>Raddom</v>
      </c>
      <c r="C6">
        <f>IFERROR(VLOOKUP($A6, W2D1M1!$A:$F, 6, FALSE), 0)</f>
        <v>0</v>
      </c>
      <c r="D6">
        <f>IFERROR(VLOOKUP($A6, W2D1M2!$A:$F, 6, FALSE), 0)</f>
        <v>0</v>
      </c>
      <c r="E6">
        <f>IFERROR(VLOOKUP($A6, W2D1M3!$A:$F, 6, FALSE), 0)</f>
        <v>0</v>
      </c>
      <c r="F6">
        <f>IFERROR(VLOOKUP($A6,#REF!, 6, FALSE), 0)</f>
        <v>0</v>
      </c>
      <c r="G6" s="4">
        <f t="shared" si="0"/>
        <v>0</v>
      </c>
      <c r="H6">
        <f t="shared" si="1"/>
        <v>1</v>
      </c>
      <c r="J6" t="str">
        <v>RD</v>
      </c>
      <c r="K6" t="str">
        <v>Raddom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 x14ac:dyDescent="0.2">
      <c r="A7" t="str" cm="1">
        <f t="array" ref="A7">INDEX(TEAMLIST!A:A, ROW())</f>
        <v>SSRS</v>
      </c>
      <c r="B7" t="str" cm="1">
        <f t="array" ref="B7">INDEX(TEAMLIST!B:B, ROW())</f>
        <v>SaSaRaSa</v>
      </c>
      <c r="C7">
        <f>IFERROR(VLOOKUP($A7, W2D1M1!$A:$F, 6, FALSE), 0)</f>
        <v>0</v>
      </c>
      <c r="D7">
        <f>IFERROR(VLOOKUP($A7, W2D1M2!$A:$F, 6, FALSE), 0)</f>
        <v>0</v>
      </c>
      <c r="E7">
        <f>IFERROR(VLOOKUP($A7, W2D1M3!$A:$F, 6, FALSE), 0)</f>
        <v>0</v>
      </c>
      <c r="F7">
        <f>IFERROR(VLOOKUP($A7,#REF!, 6, FALSE), 0)</f>
        <v>0</v>
      </c>
      <c r="G7" s="4">
        <f t="shared" si="0"/>
        <v>0</v>
      </c>
      <c r="H7">
        <f t="shared" si="1"/>
        <v>1</v>
      </c>
      <c r="J7" t="str">
        <v>SSRS</v>
      </c>
      <c r="K7" t="str">
        <v>SaSaRaSa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 x14ac:dyDescent="0.2">
      <c r="A8" t="str" cm="1">
        <f t="array" ref="A8">INDEX(TEAMLIST!A:A, ROW())</f>
        <v>OP</v>
      </c>
      <c r="B8" t="str" cm="1">
        <f t="array" ref="B8">INDEX(TEAMLIST!B:B, ROW())</f>
        <v>Onpara</v>
      </c>
      <c r="C8">
        <f>IFERROR(VLOOKUP($A8, W2D1M1!$A:$F, 6, FALSE), 0)</f>
        <v>0</v>
      </c>
      <c r="D8">
        <f>IFERROR(VLOOKUP($A8, W2D1M2!$A:$F, 6, FALSE), 0)</f>
        <v>0</v>
      </c>
      <c r="E8">
        <f>IFERROR(VLOOKUP($A8, W2D1M3!$A:$F, 6, FALSE), 0)</f>
        <v>0</v>
      </c>
      <c r="F8">
        <f>IFERROR(VLOOKUP($A8,#REF!, 6, FALSE), 0)</f>
        <v>0</v>
      </c>
      <c r="G8" s="4">
        <f t="shared" si="0"/>
        <v>0</v>
      </c>
      <c r="H8">
        <f t="shared" si="1"/>
        <v>1</v>
      </c>
      <c r="J8" t="str">
        <v>OP</v>
      </c>
      <c r="K8" t="str">
        <v>Onpara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 x14ac:dyDescent="0.2">
      <c r="A9" t="str" cm="1">
        <f t="array" ref="A9">INDEX(TEAMLIST!A:A, ROW())</f>
        <v>NX</v>
      </c>
      <c r="B9" t="str" cm="1">
        <f t="array" ref="B9">INDEX(TEAMLIST!B:B, ROW())</f>
        <v>NoXe</v>
      </c>
      <c r="C9">
        <f>IFERROR(VLOOKUP($A9, W2D1M1!$A:$F, 6, FALSE), 0)</f>
        <v>0</v>
      </c>
      <c r="D9">
        <f>IFERROR(VLOOKUP($A9, W2D1M2!$A:$F, 6, FALSE), 0)</f>
        <v>0</v>
      </c>
      <c r="E9">
        <f>IFERROR(VLOOKUP($A9, W2D1M3!$A:$F, 6, FALSE), 0)</f>
        <v>0</v>
      </c>
      <c r="F9">
        <f>IFERROR(VLOOKUP($A9,#REF!, 6, FALSE), 0)</f>
        <v>0</v>
      </c>
      <c r="G9" s="4">
        <f t="shared" si="0"/>
        <v>0</v>
      </c>
      <c r="H9">
        <f t="shared" si="1"/>
        <v>1</v>
      </c>
      <c r="J9" t="str">
        <v>NX</v>
      </c>
      <c r="K9" t="str">
        <v>NoXe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 x14ac:dyDescent="0.2">
      <c r="A10" t="str" cm="1">
        <f t="array" ref="A10">INDEX(TEAMLIST!A:A, ROW())</f>
        <v>SBZ</v>
      </c>
      <c r="B10" t="str" cm="1">
        <f t="array" ref="B10">INDEX(TEAMLIST!B:B, ROW())</f>
        <v>SEEBRAZ</v>
      </c>
      <c r="C10">
        <f>IFERROR(VLOOKUP($A10, W2D1M1!$A:$F, 6, FALSE), 0)</f>
        <v>0</v>
      </c>
      <c r="D10">
        <f>IFERROR(VLOOKUP($A10, W2D1M2!$A:$F, 6, FALSE), 0)</f>
        <v>0</v>
      </c>
      <c r="E10">
        <f>IFERROR(VLOOKUP($A10, W2D1M3!$A:$F, 6, FALSE), 0)</f>
        <v>0</v>
      </c>
      <c r="F10">
        <f>IFERROR(VLOOKUP($A10,#REF!, 6, FALSE), 0)</f>
        <v>0</v>
      </c>
      <c r="G10" s="4">
        <f t="shared" si="0"/>
        <v>0</v>
      </c>
      <c r="H10">
        <f t="shared" si="1"/>
        <v>1</v>
      </c>
      <c r="J10" t="str">
        <v>SBZ</v>
      </c>
      <c r="K10" t="str">
        <v>SEEBRAZ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 x14ac:dyDescent="0.2">
      <c r="A11" t="str" cm="1">
        <f t="array" ref="A11">INDEX(TEAMLIST!A:A, ROW())</f>
        <v>FF</v>
      </c>
      <c r="B11" t="str" cm="1">
        <f t="array" ref="B11">INDEX(TEAMLIST!B:B, ROW())</f>
        <v>ff</v>
      </c>
      <c r="C11">
        <f>IFERROR(VLOOKUP($A11, W2D1M1!$A:$F, 6, FALSE), 0)</f>
        <v>0</v>
      </c>
      <c r="D11">
        <f>IFERROR(VLOOKUP($A11, W2D1M2!$A:$F, 6, FALSE), 0)</f>
        <v>0</v>
      </c>
      <c r="E11">
        <f>IFERROR(VLOOKUP($A11, W2D1M3!$A:$F, 6, FALSE), 0)</f>
        <v>0</v>
      </c>
      <c r="F11">
        <f>IFERROR(VLOOKUP($A11,#REF!, 6, FALSE), 0)</f>
        <v>0</v>
      </c>
      <c r="G11" s="4">
        <f t="shared" si="0"/>
        <v>0</v>
      </c>
      <c r="H11">
        <f t="shared" si="1"/>
        <v>1</v>
      </c>
      <c r="J11" t="str">
        <v>FF</v>
      </c>
      <c r="K11" t="str">
        <v>ff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  <row r="12" spans="1:17" x14ac:dyDescent="0.2">
      <c r="A12" t="str" cm="1">
        <f t="array" ref="A12">INDEX(TEAMLIST!A:A, ROW())</f>
        <v>SDF</v>
      </c>
      <c r="B12" t="str" cm="1">
        <f t="array" ref="B12">INDEX(TEAMLIST!B:B, ROW())</f>
        <v>sdfsdf</v>
      </c>
      <c r="C12">
        <f>IFERROR(VLOOKUP($A12, W2D1M1!$A:$F, 6, FALSE), 0)</f>
        <v>0</v>
      </c>
      <c r="D12">
        <f>IFERROR(VLOOKUP($A12, W2D1M2!$A:$F, 6, FALSE), 0)</f>
        <v>0</v>
      </c>
      <c r="E12">
        <f>IFERROR(VLOOKUP($A12, W2D1M3!$A:$F, 6, FALSE), 0)</f>
        <v>0</v>
      </c>
      <c r="F12">
        <f>IFERROR(VLOOKUP($A12,#REF!, 6, FALSE), 0)</f>
        <v>0</v>
      </c>
      <c r="G12" s="4">
        <f t="shared" si="0"/>
        <v>0</v>
      </c>
      <c r="H12">
        <f t="shared" si="1"/>
        <v>1</v>
      </c>
      <c r="J12" t="str">
        <v>SDF</v>
      </c>
      <c r="K12" t="str">
        <v>sdfsdf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</row>
    <row r="13" spans="1:17" x14ac:dyDescent="0.2">
      <c r="A13" t="str" cm="1">
        <f t="array" ref="A13">INDEX(TEAMLIST!A:A, ROW())</f>
        <v>HHH</v>
      </c>
      <c r="B13" t="str" cm="1">
        <f t="array" ref="B13">INDEX(TEAMLIST!B:B, ROW())</f>
        <v>HHHH</v>
      </c>
      <c r="C13">
        <f>IFERROR(VLOOKUP($A13, W2D1M1!$A:$F, 6, FALSE), 0)</f>
        <v>0</v>
      </c>
      <c r="D13">
        <f>IFERROR(VLOOKUP($A13, W2D1M2!$A:$F, 6, FALSE), 0)</f>
        <v>0</v>
      </c>
      <c r="E13">
        <f>IFERROR(VLOOKUP($A13, W2D1M3!$A:$F, 6, FALSE), 0)</f>
        <v>0</v>
      </c>
      <c r="F13">
        <f>IFERROR(VLOOKUP($A13,#REF!, 6, FALSE), 0)</f>
        <v>0</v>
      </c>
      <c r="G13" s="4">
        <f t="shared" si="0"/>
        <v>0</v>
      </c>
      <c r="H13">
        <f t="shared" si="1"/>
        <v>1</v>
      </c>
      <c r="J13" t="str">
        <v>HHH</v>
      </c>
      <c r="K13" t="str">
        <v>HHHH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</row>
    <row r="14" spans="1:17" x14ac:dyDescent="0.2">
      <c r="A14" t="str" cm="1">
        <f t="array" ref="A14">INDEX(TEAMLIST!A:A, ROW())</f>
        <v>SSEE</v>
      </c>
      <c r="B14" t="str" cm="1">
        <f t="array" ref="B14">INDEX(TEAMLIST!B:B, ROW())</f>
        <v>SSEE</v>
      </c>
      <c r="C14">
        <f>IFERROR(VLOOKUP($A14, W2D1M1!$A:$F, 6, FALSE), 0)</f>
        <v>0</v>
      </c>
      <c r="D14">
        <f>IFERROR(VLOOKUP($A14, W2D1M2!$A:$F, 6, FALSE), 0)</f>
        <v>0</v>
      </c>
      <c r="E14">
        <f>IFERROR(VLOOKUP($A14, W2D1M3!$A:$F, 6, FALSE), 0)</f>
        <v>0</v>
      </c>
      <c r="F14">
        <f>IFERROR(VLOOKUP($A14,#REF!, 6, FALSE), 0)</f>
        <v>0</v>
      </c>
      <c r="G14" s="4">
        <f t="shared" si="0"/>
        <v>0</v>
      </c>
      <c r="H14">
        <f t="shared" si="1"/>
        <v>1</v>
      </c>
      <c r="J14" t="str">
        <v>SSEE</v>
      </c>
      <c r="K14" t="str">
        <v>SSEE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</row>
    <row r="15" spans="1:17" x14ac:dyDescent="0.2">
      <c r="A15" t="str" cm="1">
        <f t="array" ref="A15">INDEX(TEAMLIST!A:A, ROW())</f>
        <v>RR</v>
      </c>
      <c r="B15" t="str" cm="1">
        <f t="array" ref="B15">INDEX(TEAMLIST!B:B, ROW())</f>
        <v>rr</v>
      </c>
      <c r="C15">
        <f>IFERROR(VLOOKUP($A15, W2D1M1!$A:$F, 6, FALSE), 0)</f>
        <v>0</v>
      </c>
      <c r="D15">
        <f>IFERROR(VLOOKUP($A15, W2D1M2!$A:$F, 6, FALSE), 0)</f>
        <v>0</v>
      </c>
      <c r="E15">
        <f>IFERROR(VLOOKUP($A15, W2D1M3!$A:$F, 6, FALSE), 0)</f>
        <v>0</v>
      </c>
      <c r="F15">
        <f>IFERROR(VLOOKUP($A15,#REF!, 6, FALSE), 0)</f>
        <v>0</v>
      </c>
      <c r="G15" s="4">
        <f t="shared" si="0"/>
        <v>0</v>
      </c>
      <c r="H15">
        <f t="shared" si="1"/>
        <v>1</v>
      </c>
      <c r="J15" t="str">
        <v>RR</v>
      </c>
      <c r="K15" t="str">
        <v>rr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</row>
    <row r="16" spans="1:17" x14ac:dyDescent="0.2">
      <c r="A16" t="str" cm="1">
        <f t="array" ref="A16">INDEX(TEAMLIST!A:A, ROW())</f>
        <v>www</v>
      </c>
      <c r="B16" t="str" cm="1">
        <f t="array" ref="B16">INDEX(TEAMLIST!B:B, ROW())</f>
        <v>wwww</v>
      </c>
      <c r="C16">
        <f>IFERROR(VLOOKUP($A16, W2D1M1!$A:$F, 6, FALSE), 0)</f>
        <v>0</v>
      </c>
      <c r="D16">
        <f>IFERROR(VLOOKUP($A16, W2D1M2!$A:$F, 6, FALSE), 0)</f>
        <v>0</v>
      </c>
      <c r="E16">
        <f>IFERROR(VLOOKUP($A16, W2D1M3!$A:$F, 6, FALSE), 0)</f>
        <v>0</v>
      </c>
      <c r="F16">
        <f>IFERROR(VLOOKUP($A16,#REF!, 6, FALSE), 0)</f>
        <v>0</v>
      </c>
      <c r="G16" s="4">
        <f t="shared" si="0"/>
        <v>0</v>
      </c>
      <c r="H16">
        <f t="shared" si="1"/>
        <v>1</v>
      </c>
      <c r="J16" t="str">
        <v>www</v>
      </c>
      <c r="K16" t="str">
        <v>wwww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</row>
    <row r="17" spans="1:17" x14ac:dyDescent="0.2">
      <c r="A17" t="str" cm="1">
        <f t="array" ref="A17">INDEX(TEAMLIST!A:A, ROW())</f>
        <v>ASFA</v>
      </c>
      <c r="B17" t="str" cm="1">
        <f t="array" ref="B17">INDEX(TEAMLIST!B:B, ROW())</f>
        <v>asfasadsd</v>
      </c>
      <c r="C17">
        <f>IFERROR(VLOOKUP($A17, W2D1M1!$A:$F, 6, FALSE), 0)</f>
        <v>0</v>
      </c>
      <c r="D17">
        <f>IFERROR(VLOOKUP($A17, W2D1M2!$A:$F, 6, FALSE), 0)</f>
        <v>0</v>
      </c>
      <c r="E17">
        <f>IFERROR(VLOOKUP($A17, W2D1M3!$A:$F, 6, FALSE), 0)</f>
        <v>0</v>
      </c>
      <c r="F17">
        <f>IFERROR(VLOOKUP($A17,#REF!, 6, FALSE), 0)</f>
        <v>0</v>
      </c>
      <c r="G17" s="4">
        <f t="shared" si="0"/>
        <v>0</v>
      </c>
      <c r="H17">
        <f t="shared" si="1"/>
        <v>1</v>
      </c>
      <c r="J17" t="str">
        <v>ASFA</v>
      </c>
      <c r="K17" t="str">
        <v>asfasadsd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44F2-B734-4C30-A252-703C12942ADF}">
  <sheetPr>
    <tabColor rgb="FFFFC000"/>
  </sheetPr>
  <dimension ref="A1:Q18"/>
  <sheetViews>
    <sheetView tabSelected="1" workbookViewId="0">
      <selection activeCell="D24" sqref="D24"/>
    </sheetView>
  </sheetViews>
  <sheetFormatPr defaultRowHeight="14.25" x14ac:dyDescent="0.2"/>
  <sheetData>
    <row r="1" spans="1:17" ht="33.75" thickBot="1" x14ac:dyDescent="0.25">
      <c r="A1" s="9" t="s">
        <v>79</v>
      </c>
      <c r="B1" s="9" t="s">
        <v>74</v>
      </c>
      <c r="C1" s="9" t="s">
        <v>84</v>
      </c>
      <c r="D1" s="9" t="s">
        <v>85</v>
      </c>
      <c r="E1" s="9" t="s">
        <v>86</v>
      </c>
      <c r="F1" s="9" t="s">
        <v>88</v>
      </c>
      <c r="G1" s="9" t="s">
        <v>87</v>
      </c>
      <c r="H1" s="9" t="s">
        <v>80</v>
      </c>
    </row>
    <row r="2" spans="1:17" ht="15" thickTop="1" x14ac:dyDescent="0.2">
      <c r="A2" t="str" cm="1">
        <f t="array" ref="A2">INDEX(TEAMLIST!A:A, ROW())</f>
        <v>AWD</v>
      </c>
      <c r="B2" t="str" cm="1">
        <f t="array" ref="B2">INDEX(TEAMLIST!B:B, ROW())</f>
        <v>Award</v>
      </c>
      <c r="C2">
        <f>IFERROR(VLOOKUP($A2, W2D2M1!$A:$F, 6, FALSE), 0)</f>
        <v>0</v>
      </c>
      <c r="D2">
        <f>IFERROR(VLOOKUP($A2, W2D2M2!$A:$F, 6, FALSE), 0)</f>
        <v>0</v>
      </c>
      <c r="E2">
        <f>IFERROR(VLOOKUP($A2, W2D2M3!$A:$F, 6, FALSE), 0)</f>
        <v>0</v>
      </c>
      <c r="F2">
        <f>IFERROR(VLOOKUP($A2,#REF!, 6, FALSE), 0)</f>
        <v>0</v>
      </c>
      <c r="G2" s="4">
        <f>SUM(C2:F2)</f>
        <v>0</v>
      </c>
      <c r="H2">
        <f>IFERROR(RANK(G2,$G$2:$G$17,0),0)</f>
        <v>1</v>
      </c>
      <c r="J2" t="str" cm="1">
        <f t="array" ref="J2:Q17">_xlfn._xlws.SORT(A2:H17, 8, 1)</f>
        <v>AWD</v>
      </c>
      <c r="K2" t="str">
        <v>Award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</row>
    <row r="3" spans="1:17" x14ac:dyDescent="0.2">
      <c r="A3" t="str" cm="1">
        <f t="array" ref="A3">INDEX(TEAMLIST!A:A, ROW())</f>
        <v>BOS</v>
      </c>
      <c r="B3" t="str" cm="1">
        <f t="array" ref="B3">INDEX(TEAMLIST!B:B, ROW())</f>
        <v>BOSS</v>
      </c>
      <c r="C3">
        <f>IFERROR(VLOOKUP($A3, W2D2M1!$A:$F, 6, FALSE), 0)</f>
        <v>0</v>
      </c>
      <c r="D3">
        <f>IFERROR(VLOOKUP($A3, W2D2M2!$A:$F, 6, FALSE), 0)</f>
        <v>0</v>
      </c>
      <c r="E3">
        <f>IFERROR(VLOOKUP($A3, W2D2M3!$A:$F, 6, FALSE), 0)</f>
        <v>0</v>
      </c>
      <c r="F3">
        <f>IFERROR(VLOOKUP($A3,#REF!, 6, FALSE), 0)</f>
        <v>0</v>
      </c>
      <c r="G3" s="4">
        <f t="shared" ref="G3:G17" si="0">SUM(C3:F3)</f>
        <v>0</v>
      </c>
      <c r="H3">
        <f t="shared" ref="H3:H17" si="1">IFERROR(RANK(G3,$G$2:$G$17,0),0)</f>
        <v>1</v>
      </c>
      <c r="J3" t="str">
        <v>BOS</v>
      </c>
      <c r="K3" t="str">
        <v>BOSS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</row>
    <row r="4" spans="1:17" x14ac:dyDescent="0.2">
      <c r="A4" t="str" cm="1">
        <f t="array" ref="A4">INDEX(TEAMLIST!A:A, ROW())</f>
        <v>NVD</v>
      </c>
      <c r="B4" t="str" cm="1">
        <f t="array" ref="B4">INDEX(TEAMLIST!B:B, ROW())</f>
        <v>NerverDIe</v>
      </c>
      <c r="C4">
        <f>IFERROR(VLOOKUP($A4, W2D2M1!$A:$F, 6, FALSE), 0)</f>
        <v>0</v>
      </c>
      <c r="D4">
        <f>IFERROR(VLOOKUP($A4, W2D2M2!$A:$F, 6, FALSE), 0)</f>
        <v>0</v>
      </c>
      <c r="E4">
        <f>IFERROR(VLOOKUP($A4, W2D2M3!$A:$F, 6, FALSE), 0)</f>
        <v>0</v>
      </c>
      <c r="F4">
        <f>IFERROR(VLOOKUP($A4,#REF!, 6, FALSE), 0)</f>
        <v>0</v>
      </c>
      <c r="G4" s="4">
        <f t="shared" si="0"/>
        <v>0</v>
      </c>
      <c r="H4">
        <f t="shared" si="1"/>
        <v>1</v>
      </c>
      <c r="J4" t="str">
        <v>NVD</v>
      </c>
      <c r="K4" t="str">
        <v>NerverDIe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 x14ac:dyDescent="0.2">
      <c r="A5" t="str" cm="1">
        <f t="array" ref="A5">INDEX(TEAMLIST!A:A, ROW())</f>
        <v>SBD</v>
      </c>
      <c r="B5" t="str" cm="1">
        <f t="array" ref="B5">INDEX(TEAMLIST!B:B, ROW())</f>
        <v>Skibidy</v>
      </c>
      <c r="C5">
        <f>IFERROR(VLOOKUP($A5, W2D2M1!$A:$F, 6, FALSE), 0)</f>
        <v>0</v>
      </c>
      <c r="D5">
        <f>IFERROR(VLOOKUP($A5, W2D2M2!$A:$F, 6, FALSE), 0)</f>
        <v>0</v>
      </c>
      <c r="E5">
        <f>IFERROR(VLOOKUP($A5, W2D2M3!$A:$F, 6, FALSE), 0)</f>
        <v>0</v>
      </c>
      <c r="F5">
        <f>IFERROR(VLOOKUP($A5,#REF!, 6, FALSE), 0)</f>
        <v>0</v>
      </c>
      <c r="G5" s="4">
        <f t="shared" si="0"/>
        <v>0</v>
      </c>
      <c r="H5">
        <f t="shared" si="1"/>
        <v>1</v>
      </c>
      <c r="J5" t="str">
        <v>SBD</v>
      </c>
      <c r="K5" t="str">
        <v>Skibidy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</row>
    <row r="6" spans="1:17" x14ac:dyDescent="0.2">
      <c r="A6" t="str" cm="1">
        <f t="array" ref="A6">INDEX(TEAMLIST!A:A, ROW())</f>
        <v>RD</v>
      </c>
      <c r="B6" t="str" cm="1">
        <f t="array" ref="B6">INDEX(TEAMLIST!B:B, ROW())</f>
        <v>Raddom</v>
      </c>
      <c r="C6">
        <f>IFERROR(VLOOKUP($A6, W2D2M1!$A:$F, 6, FALSE), 0)</f>
        <v>0</v>
      </c>
      <c r="D6">
        <f>IFERROR(VLOOKUP($A6, W2D2M2!$A:$F, 6, FALSE), 0)</f>
        <v>0</v>
      </c>
      <c r="E6">
        <f>IFERROR(VLOOKUP($A6, W2D2M3!$A:$F, 6, FALSE), 0)</f>
        <v>0</v>
      </c>
      <c r="F6">
        <f>IFERROR(VLOOKUP($A6,#REF!, 6, FALSE), 0)</f>
        <v>0</v>
      </c>
      <c r="G6" s="4">
        <f t="shared" si="0"/>
        <v>0</v>
      </c>
      <c r="H6">
        <f t="shared" si="1"/>
        <v>1</v>
      </c>
      <c r="J6" t="str">
        <v>RD</v>
      </c>
      <c r="K6" t="str">
        <v>Raddom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 x14ac:dyDescent="0.2">
      <c r="A7" t="str" cm="1">
        <f t="array" ref="A7">INDEX(TEAMLIST!A:A, ROW())</f>
        <v>SSRS</v>
      </c>
      <c r="B7" t="str" cm="1">
        <f t="array" ref="B7">INDEX(TEAMLIST!B:B, ROW())</f>
        <v>SaSaRaSa</v>
      </c>
      <c r="C7">
        <f>IFERROR(VLOOKUP($A7, W2D2M1!$A:$F, 6, FALSE), 0)</f>
        <v>0</v>
      </c>
      <c r="D7">
        <f>IFERROR(VLOOKUP($A7, W2D2M2!$A:$F, 6, FALSE), 0)</f>
        <v>0</v>
      </c>
      <c r="E7">
        <f>IFERROR(VLOOKUP($A7, W2D2M3!$A:$F, 6, FALSE), 0)</f>
        <v>0</v>
      </c>
      <c r="F7">
        <f>IFERROR(VLOOKUP($A7,#REF!, 6, FALSE), 0)</f>
        <v>0</v>
      </c>
      <c r="G7" s="4">
        <f t="shared" si="0"/>
        <v>0</v>
      </c>
      <c r="H7">
        <f t="shared" si="1"/>
        <v>1</v>
      </c>
      <c r="J7" t="str">
        <v>SSRS</v>
      </c>
      <c r="K7" t="str">
        <v>SaSaRaSa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 x14ac:dyDescent="0.2">
      <c r="A8" t="str" cm="1">
        <f t="array" ref="A8">INDEX(TEAMLIST!A:A, ROW())</f>
        <v>OP</v>
      </c>
      <c r="B8" t="str" cm="1">
        <f t="array" ref="B8">INDEX(TEAMLIST!B:B, ROW())</f>
        <v>Onpara</v>
      </c>
      <c r="C8">
        <f>IFERROR(VLOOKUP($A8, W2D2M1!$A:$F, 6, FALSE), 0)</f>
        <v>0</v>
      </c>
      <c r="D8">
        <f>IFERROR(VLOOKUP($A8, W2D2M2!$A:$F, 6, FALSE), 0)</f>
        <v>0</v>
      </c>
      <c r="E8">
        <f>IFERROR(VLOOKUP($A8, W2D2M3!$A:$F, 6, FALSE), 0)</f>
        <v>0</v>
      </c>
      <c r="F8">
        <f>IFERROR(VLOOKUP($A8,#REF!, 6, FALSE), 0)</f>
        <v>0</v>
      </c>
      <c r="G8" s="4">
        <f t="shared" si="0"/>
        <v>0</v>
      </c>
      <c r="H8">
        <f t="shared" si="1"/>
        <v>1</v>
      </c>
      <c r="J8" t="str">
        <v>OP</v>
      </c>
      <c r="K8" t="str">
        <v>Onpara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 x14ac:dyDescent="0.2">
      <c r="A9" t="str" cm="1">
        <f t="array" ref="A9">INDEX(TEAMLIST!A:A, ROW())</f>
        <v>NX</v>
      </c>
      <c r="B9" t="str" cm="1">
        <f t="array" ref="B9">INDEX(TEAMLIST!B:B, ROW())</f>
        <v>NoXe</v>
      </c>
      <c r="C9">
        <f>IFERROR(VLOOKUP($A9, W2D2M1!$A:$F, 6, FALSE), 0)</f>
        <v>0</v>
      </c>
      <c r="D9">
        <f>IFERROR(VLOOKUP($A9, W2D2M2!$A:$F, 6, FALSE), 0)</f>
        <v>0</v>
      </c>
      <c r="E9">
        <f>IFERROR(VLOOKUP($A9, W2D2M3!$A:$F, 6, FALSE), 0)</f>
        <v>0</v>
      </c>
      <c r="F9">
        <f>IFERROR(VLOOKUP($A9,#REF!, 6, FALSE), 0)</f>
        <v>0</v>
      </c>
      <c r="G9" s="4">
        <f t="shared" si="0"/>
        <v>0</v>
      </c>
      <c r="H9">
        <f t="shared" si="1"/>
        <v>1</v>
      </c>
      <c r="J9" t="str">
        <v>NX</v>
      </c>
      <c r="K9" t="str">
        <v>NoXe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 x14ac:dyDescent="0.2">
      <c r="A10" t="str" cm="1">
        <f t="array" ref="A10">INDEX(TEAMLIST!A:A, ROW())</f>
        <v>SBZ</v>
      </c>
      <c r="B10" t="str" cm="1">
        <f t="array" ref="B10">INDEX(TEAMLIST!B:B, ROW())</f>
        <v>SEEBRAZ</v>
      </c>
      <c r="C10">
        <f>IFERROR(VLOOKUP($A10, W2D2M1!$A:$F, 6, FALSE), 0)</f>
        <v>0</v>
      </c>
      <c r="D10">
        <f>IFERROR(VLOOKUP($A10, W2D2M2!$A:$F, 6, FALSE), 0)</f>
        <v>0</v>
      </c>
      <c r="E10">
        <f>IFERROR(VLOOKUP($A10, W2D2M3!$A:$F, 6, FALSE), 0)</f>
        <v>0</v>
      </c>
      <c r="F10">
        <f>IFERROR(VLOOKUP($A10,#REF!, 6, FALSE), 0)</f>
        <v>0</v>
      </c>
      <c r="G10" s="4">
        <f t="shared" si="0"/>
        <v>0</v>
      </c>
      <c r="H10">
        <f t="shared" si="1"/>
        <v>1</v>
      </c>
      <c r="J10" t="str">
        <v>SBZ</v>
      </c>
      <c r="K10" t="str">
        <v>SEEBRAZ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 x14ac:dyDescent="0.2">
      <c r="A11" t="str" cm="1">
        <f t="array" ref="A11">INDEX(TEAMLIST!A:A, ROW())</f>
        <v>FF</v>
      </c>
      <c r="B11" t="str" cm="1">
        <f t="array" ref="B11">INDEX(TEAMLIST!B:B, ROW())</f>
        <v>ff</v>
      </c>
      <c r="C11">
        <f>IFERROR(VLOOKUP($A11, W2D2M1!$A:$F, 6, FALSE), 0)</f>
        <v>0</v>
      </c>
      <c r="D11">
        <f>IFERROR(VLOOKUP($A11, W2D2M2!$A:$F, 6, FALSE), 0)</f>
        <v>0</v>
      </c>
      <c r="E11">
        <f>IFERROR(VLOOKUP($A11, W2D2M3!$A:$F, 6, FALSE), 0)</f>
        <v>0</v>
      </c>
      <c r="F11">
        <f>IFERROR(VLOOKUP($A11,#REF!, 6, FALSE), 0)</f>
        <v>0</v>
      </c>
      <c r="G11" s="4">
        <f t="shared" si="0"/>
        <v>0</v>
      </c>
      <c r="H11">
        <f t="shared" si="1"/>
        <v>1</v>
      </c>
      <c r="J11" t="str">
        <v>FF</v>
      </c>
      <c r="K11" t="str">
        <v>ff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  <row r="12" spans="1:17" x14ac:dyDescent="0.2">
      <c r="A12" t="str" cm="1">
        <f t="array" ref="A12">INDEX(TEAMLIST!A:A, ROW())</f>
        <v>SDF</v>
      </c>
      <c r="B12" t="str" cm="1">
        <f t="array" ref="B12">INDEX(TEAMLIST!B:B, ROW())</f>
        <v>sdfsdf</v>
      </c>
      <c r="C12">
        <f>IFERROR(VLOOKUP($A12, W2D2M1!$A:$F, 6, FALSE), 0)</f>
        <v>0</v>
      </c>
      <c r="D12">
        <f>IFERROR(VLOOKUP($A12, W2D2M2!$A:$F, 6, FALSE), 0)</f>
        <v>0</v>
      </c>
      <c r="E12">
        <f>IFERROR(VLOOKUP($A12, W2D2M3!$A:$F, 6, FALSE), 0)</f>
        <v>0</v>
      </c>
      <c r="F12">
        <f>IFERROR(VLOOKUP($A12,#REF!, 6, FALSE), 0)</f>
        <v>0</v>
      </c>
      <c r="G12" s="4">
        <f t="shared" si="0"/>
        <v>0</v>
      </c>
      <c r="H12">
        <f t="shared" si="1"/>
        <v>1</v>
      </c>
      <c r="J12" t="str">
        <v>SDF</v>
      </c>
      <c r="K12" t="str">
        <v>sdfsdf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</row>
    <row r="13" spans="1:17" x14ac:dyDescent="0.2">
      <c r="A13" t="str" cm="1">
        <f t="array" ref="A13">INDEX(TEAMLIST!A:A, ROW())</f>
        <v>HHH</v>
      </c>
      <c r="B13" t="str" cm="1">
        <f t="array" ref="B13">INDEX(TEAMLIST!B:B, ROW())</f>
        <v>HHHH</v>
      </c>
      <c r="C13">
        <f>IFERROR(VLOOKUP($A13, W2D2M1!$A:$F, 6, FALSE), 0)</f>
        <v>0</v>
      </c>
      <c r="D13">
        <f>IFERROR(VLOOKUP($A13, W2D2M2!$A:$F, 6, FALSE), 0)</f>
        <v>0</v>
      </c>
      <c r="E13">
        <f>IFERROR(VLOOKUP($A13, W2D2M3!$A:$F, 6, FALSE), 0)</f>
        <v>0</v>
      </c>
      <c r="F13">
        <f>IFERROR(VLOOKUP($A13,#REF!, 6, FALSE), 0)</f>
        <v>0</v>
      </c>
      <c r="G13" s="4">
        <f t="shared" si="0"/>
        <v>0</v>
      </c>
      <c r="H13">
        <f t="shared" si="1"/>
        <v>1</v>
      </c>
      <c r="J13" t="str">
        <v>HHH</v>
      </c>
      <c r="K13" t="str">
        <v>HHHH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</row>
    <row r="14" spans="1:17" x14ac:dyDescent="0.2">
      <c r="A14" t="str" cm="1">
        <f t="array" ref="A14">INDEX(TEAMLIST!A:A, ROW())</f>
        <v>SSEE</v>
      </c>
      <c r="B14" t="str" cm="1">
        <f t="array" ref="B14">INDEX(TEAMLIST!B:B, ROW())</f>
        <v>SSEE</v>
      </c>
      <c r="C14">
        <f>IFERROR(VLOOKUP($A14, W2D2M1!$A:$F, 6, FALSE), 0)</f>
        <v>0</v>
      </c>
      <c r="D14">
        <f>IFERROR(VLOOKUP($A14, W2D2M2!$A:$F, 6, FALSE), 0)</f>
        <v>0</v>
      </c>
      <c r="E14">
        <f>IFERROR(VLOOKUP($A14, W2D2M3!$A:$F, 6, FALSE), 0)</f>
        <v>0</v>
      </c>
      <c r="F14">
        <f>IFERROR(VLOOKUP($A14,#REF!, 6, FALSE), 0)</f>
        <v>0</v>
      </c>
      <c r="G14" s="4">
        <f t="shared" si="0"/>
        <v>0</v>
      </c>
      <c r="H14">
        <f t="shared" si="1"/>
        <v>1</v>
      </c>
      <c r="J14" t="str">
        <v>SSEE</v>
      </c>
      <c r="K14" t="str">
        <v>SSEE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</row>
    <row r="15" spans="1:17" x14ac:dyDescent="0.2">
      <c r="A15" t="str" cm="1">
        <f t="array" ref="A15">INDEX(TEAMLIST!A:A, ROW())</f>
        <v>RR</v>
      </c>
      <c r="B15" t="str" cm="1">
        <f t="array" ref="B15">INDEX(TEAMLIST!B:B, ROW())</f>
        <v>rr</v>
      </c>
      <c r="C15">
        <f>IFERROR(VLOOKUP($A15, W2D2M1!$A:$F, 6, FALSE), 0)</f>
        <v>0</v>
      </c>
      <c r="D15">
        <f>IFERROR(VLOOKUP($A15, W2D2M2!$A:$F, 6, FALSE), 0)</f>
        <v>0</v>
      </c>
      <c r="E15">
        <f>IFERROR(VLOOKUP($A15, W2D2M3!$A:$F, 6, FALSE), 0)</f>
        <v>0</v>
      </c>
      <c r="F15">
        <f>IFERROR(VLOOKUP($A15,#REF!, 6, FALSE), 0)</f>
        <v>0</v>
      </c>
      <c r="G15" s="4">
        <f t="shared" si="0"/>
        <v>0</v>
      </c>
      <c r="H15">
        <f t="shared" si="1"/>
        <v>1</v>
      </c>
      <c r="J15" t="str">
        <v>RR</v>
      </c>
      <c r="K15" t="str">
        <v>rr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</row>
    <row r="16" spans="1:17" x14ac:dyDescent="0.2">
      <c r="A16" t="str" cm="1">
        <f t="array" ref="A16">INDEX(TEAMLIST!A:A, ROW())</f>
        <v>www</v>
      </c>
      <c r="B16" t="str" cm="1">
        <f t="array" ref="B16">INDEX(TEAMLIST!B:B, ROW())</f>
        <v>wwww</v>
      </c>
      <c r="C16">
        <f>IFERROR(VLOOKUP($A16, W2D2M1!$A:$F, 6, FALSE), 0)</f>
        <v>0</v>
      </c>
      <c r="D16">
        <f>IFERROR(VLOOKUP($A16, W2D2M2!$A:$F, 6, FALSE), 0)</f>
        <v>0</v>
      </c>
      <c r="E16">
        <f>IFERROR(VLOOKUP($A16, W2D2M3!$A:$F, 6, FALSE), 0)</f>
        <v>0</v>
      </c>
      <c r="F16">
        <f>IFERROR(VLOOKUP($A16,#REF!, 6, FALSE), 0)</f>
        <v>0</v>
      </c>
      <c r="G16" s="4">
        <f t="shared" si="0"/>
        <v>0</v>
      </c>
      <c r="H16">
        <f t="shared" si="1"/>
        <v>1</v>
      </c>
      <c r="J16" t="str">
        <v>www</v>
      </c>
      <c r="K16" t="str">
        <v>wwww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</row>
    <row r="17" spans="1:17" x14ac:dyDescent="0.2">
      <c r="A17" t="str" cm="1">
        <f t="array" ref="A17">INDEX(TEAMLIST!A:A, ROW())</f>
        <v>ASFA</v>
      </c>
      <c r="B17" t="str" cm="1">
        <f t="array" ref="B17">INDEX(TEAMLIST!B:B, ROW())</f>
        <v>asfasadsd</v>
      </c>
      <c r="C17">
        <f>IFERROR(VLOOKUP($A17, W2D2M1!$A:$F, 6, FALSE), 0)</f>
        <v>0</v>
      </c>
      <c r="D17">
        <f>IFERROR(VLOOKUP($A17, W2D2M2!$A:$F, 6, FALSE), 0)</f>
        <v>0</v>
      </c>
      <c r="E17">
        <f>IFERROR(VLOOKUP($A17, W2D2M3!$A:$F, 6, FALSE), 0)</f>
        <v>0</v>
      </c>
      <c r="F17">
        <f>IFERROR(VLOOKUP($A17,#REF!, 6, FALSE), 0)</f>
        <v>0</v>
      </c>
      <c r="G17" s="4">
        <f t="shared" si="0"/>
        <v>0</v>
      </c>
      <c r="H17">
        <f t="shared" si="1"/>
        <v>1</v>
      </c>
      <c r="J17" t="str">
        <v>ASFA</v>
      </c>
      <c r="K17" t="str">
        <v>asfasadsd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</row>
    <row r="18" spans="1:17" x14ac:dyDescent="0.2">
      <c r="G18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FA8A8-72C7-4326-AF6E-2600EE0897E1}">
  <sheetPr>
    <tabColor rgb="FFFFC000"/>
  </sheetPr>
  <dimension ref="A1:Q17"/>
  <sheetViews>
    <sheetView workbookViewId="0">
      <selection activeCell="F1" sqref="F1:F17"/>
    </sheetView>
  </sheetViews>
  <sheetFormatPr defaultRowHeight="14.25" x14ac:dyDescent="0.2"/>
  <sheetData>
    <row r="1" spans="1:17" ht="33.75" thickBot="1" x14ac:dyDescent="0.25">
      <c r="A1" s="9" t="s">
        <v>79</v>
      </c>
      <c r="B1" s="9" t="s">
        <v>74</v>
      </c>
      <c r="C1" s="9" t="s">
        <v>84</v>
      </c>
      <c r="D1" s="9" t="s">
        <v>85</v>
      </c>
      <c r="E1" s="9" t="s">
        <v>86</v>
      </c>
      <c r="F1" s="9" t="s">
        <v>88</v>
      </c>
      <c r="G1" s="9" t="s">
        <v>87</v>
      </c>
      <c r="H1" s="9" t="s">
        <v>80</v>
      </c>
    </row>
    <row r="2" spans="1:17" ht="15" thickTop="1" x14ac:dyDescent="0.2">
      <c r="A2" t="str" cm="1">
        <f t="array" ref="A2">INDEX(TEAMLIST!A:A, ROW())</f>
        <v>AWD</v>
      </c>
      <c r="B2" t="str" cm="1">
        <f t="array" ref="B2">INDEX(TEAMLIST!B:B, ROW())</f>
        <v>Award</v>
      </c>
      <c r="C2">
        <f>IFERROR(VLOOKUP($A2, FinalM1!$A:$F, 6, FALSE), 0)</f>
        <v>0</v>
      </c>
      <c r="D2">
        <f>IFERROR(VLOOKUP($A2, FinalM2!$A:$F, 6, FALSE), 0)</f>
        <v>0</v>
      </c>
      <c r="E2">
        <f>IFERROR(VLOOKUP($A2, FinalM3!$A:$F, 6, FALSE), 0)</f>
        <v>0</v>
      </c>
      <c r="F2">
        <f>IFERROR(VLOOKUP($A2,#REF!, 6, FALSE), 0)</f>
        <v>0</v>
      </c>
      <c r="G2" s="4">
        <f>SUM(C2:F2)</f>
        <v>0</v>
      </c>
      <c r="H2">
        <f>IFERROR(RANK(G2,$G$2:$G$17,0),0)</f>
        <v>1</v>
      </c>
      <c r="J2" t="str" cm="1">
        <f t="array" ref="J2:Q17">_xlfn._xlws.SORT(A2:H17, 8, 1)</f>
        <v>AWD</v>
      </c>
      <c r="K2" t="str">
        <v>Award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</row>
    <row r="3" spans="1:17" x14ac:dyDescent="0.2">
      <c r="A3" t="str" cm="1">
        <f t="array" ref="A3">INDEX(TEAMLIST!A:A, ROW())</f>
        <v>BOS</v>
      </c>
      <c r="B3" t="str" cm="1">
        <f t="array" ref="B3">INDEX(TEAMLIST!B:B, ROW())</f>
        <v>BOSS</v>
      </c>
      <c r="C3">
        <f>IFERROR(VLOOKUP($A3, FinalM1!$A:$F, 6, FALSE), 0)</f>
        <v>0</v>
      </c>
      <c r="D3">
        <f>IFERROR(VLOOKUP($A3, FinalM2!$A:$F, 6, FALSE), 0)</f>
        <v>0</v>
      </c>
      <c r="E3">
        <f>IFERROR(VLOOKUP($A3, FinalM3!$A:$F, 6, FALSE), 0)</f>
        <v>0</v>
      </c>
      <c r="F3">
        <f>IFERROR(VLOOKUP($A3,#REF!, 6, FALSE), 0)</f>
        <v>0</v>
      </c>
      <c r="G3" s="4">
        <f t="shared" ref="G3:G17" si="0">SUM(C3:F3)</f>
        <v>0</v>
      </c>
      <c r="H3">
        <f t="shared" ref="H3:H17" si="1">IFERROR(RANK(G3,$G$2:$G$17,0),0)</f>
        <v>1</v>
      </c>
      <c r="J3" t="str">
        <v>BOS</v>
      </c>
      <c r="K3" t="str">
        <v>BOSS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</row>
    <row r="4" spans="1:17" x14ac:dyDescent="0.2">
      <c r="A4" t="str" cm="1">
        <f t="array" ref="A4">INDEX(TEAMLIST!A:A, ROW())</f>
        <v>NVD</v>
      </c>
      <c r="B4" t="str" cm="1">
        <f t="array" ref="B4">INDEX(TEAMLIST!B:B, ROW())</f>
        <v>NerverDIe</v>
      </c>
      <c r="C4">
        <f>IFERROR(VLOOKUP($A4, FinalM1!$A:$F, 6, FALSE), 0)</f>
        <v>0</v>
      </c>
      <c r="D4">
        <f>IFERROR(VLOOKUP($A4, FinalM2!$A:$F, 6, FALSE), 0)</f>
        <v>0</v>
      </c>
      <c r="E4">
        <f>IFERROR(VLOOKUP($A4, FinalM3!$A:$F, 6, FALSE), 0)</f>
        <v>0</v>
      </c>
      <c r="F4">
        <f>IFERROR(VLOOKUP($A4,#REF!, 6, FALSE), 0)</f>
        <v>0</v>
      </c>
      <c r="G4" s="4">
        <f t="shared" si="0"/>
        <v>0</v>
      </c>
      <c r="H4">
        <f t="shared" si="1"/>
        <v>1</v>
      </c>
      <c r="J4" t="str">
        <v>NVD</v>
      </c>
      <c r="K4" t="str">
        <v>NerverDIe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 x14ac:dyDescent="0.2">
      <c r="A5" t="str" cm="1">
        <f t="array" ref="A5">INDEX(TEAMLIST!A:A, ROW())</f>
        <v>SBD</v>
      </c>
      <c r="B5" t="str" cm="1">
        <f t="array" ref="B5">INDEX(TEAMLIST!B:B, ROW())</f>
        <v>Skibidy</v>
      </c>
      <c r="C5">
        <f>IFERROR(VLOOKUP($A5, FinalM1!$A:$F, 6, FALSE), 0)</f>
        <v>0</v>
      </c>
      <c r="D5">
        <f>IFERROR(VLOOKUP($A5, FinalM2!$A:$F, 6, FALSE), 0)</f>
        <v>0</v>
      </c>
      <c r="E5">
        <f>IFERROR(VLOOKUP($A5, FinalM3!$A:$F, 6, FALSE), 0)</f>
        <v>0</v>
      </c>
      <c r="F5">
        <f>IFERROR(VLOOKUP($A5,#REF!, 6, FALSE), 0)</f>
        <v>0</v>
      </c>
      <c r="G5" s="4">
        <f t="shared" si="0"/>
        <v>0</v>
      </c>
      <c r="H5">
        <f t="shared" si="1"/>
        <v>1</v>
      </c>
      <c r="J5" t="str">
        <v>SBD</v>
      </c>
      <c r="K5" t="str">
        <v>Skibidy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</row>
    <row r="6" spans="1:17" x14ac:dyDescent="0.2">
      <c r="A6" t="str" cm="1">
        <f t="array" ref="A6">INDEX(TEAMLIST!A:A, ROW())</f>
        <v>RD</v>
      </c>
      <c r="B6" t="str" cm="1">
        <f t="array" ref="B6">INDEX(TEAMLIST!B:B, ROW())</f>
        <v>Raddom</v>
      </c>
      <c r="C6">
        <f>IFERROR(VLOOKUP($A6, FinalM1!$A:$F, 6, FALSE), 0)</f>
        <v>0</v>
      </c>
      <c r="D6">
        <f>IFERROR(VLOOKUP($A6, FinalM2!$A:$F, 6, FALSE), 0)</f>
        <v>0</v>
      </c>
      <c r="E6">
        <f>IFERROR(VLOOKUP($A6, FinalM3!$A:$F, 6, FALSE), 0)</f>
        <v>0</v>
      </c>
      <c r="F6">
        <f>IFERROR(VLOOKUP($A6,#REF!, 6, FALSE), 0)</f>
        <v>0</v>
      </c>
      <c r="G6" s="4">
        <f t="shared" si="0"/>
        <v>0</v>
      </c>
      <c r="H6">
        <f t="shared" si="1"/>
        <v>1</v>
      </c>
      <c r="J6" t="str">
        <v>RD</v>
      </c>
      <c r="K6" t="str">
        <v>Raddom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 x14ac:dyDescent="0.2">
      <c r="A7" t="str" cm="1">
        <f t="array" ref="A7">INDEX(TEAMLIST!A:A, ROW())</f>
        <v>SSRS</v>
      </c>
      <c r="B7" t="str" cm="1">
        <f t="array" ref="B7">INDEX(TEAMLIST!B:B, ROW())</f>
        <v>SaSaRaSa</v>
      </c>
      <c r="C7">
        <f>IFERROR(VLOOKUP($A7, FinalM1!$A:$F, 6, FALSE), 0)</f>
        <v>0</v>
      </c>
      <c r="D7">
        <f>IFERROR(VLOOKUP($A7, FinalM2!$A:$F, 6, FALSE), 0)</f>
        <v>0</v>
      </c>
      <c r="E7">
        <f>IFERROR(VLOOKUP($A7, FinalM3!$A:$F, 6, FALSE), 0)</f>
        <v>0</v>
      </c>
      <c r="F7">
        <f>IFERROR(VLOOKUP($A7,#REF!, 6, FALSE), 0)</f>
        <v>0</v>
      </c>
      <c r="G7" s="4">
        <f t="shared" si="0"/>
        <v>0</v>
      </c>
      <c r="H7">
        <f t="shared" si="1"/>
        <v>1</v>
      </c>
      <c r="J7" t="str">
        <v>SSRS</v>
      </c>
      <c r="K7" t="str">
        <v>SaSaRaSa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 x14ac:dyDescent="0.2">
      <c r="A8" t="str" cm="1">
        <f t="array" ref="A8">INDEX(TEAMLIST!A:A, ROW())</f>
        <v>OP</v>
      </c>
      <c r="B8" t="str" cm="1">
        <f t="array" ref="B8">INDEX(TEAMLIST!B:B, ROW())</f>
        <v>Onpara</v>
      </c>
      <c r="C8">
        <f>IFERROR(VLOOKUP($A8, FinalM1!$A:$F, 6, FALSE), 0)</f>
        <v>0</v>
      </c>
      <c r="D8">
        <f>IFERROR(VLOOKUP($A8, FinalM2!$A:$F, 6, FALSE), 0)</f>
        <v>0</v>
      </c>
      <c r="E8">
        <f>IFERROR(VLOOKUP($A8, FinalM3!$A:$F, 6, FALSE), 0)</f>
        <v>0</v>
      </c>
      <c r="F8">
        <f>IFERROR(VLOOKUP($A8,#REF!, 6, FALSE), 0)</f>
        <v>0</v>
      </c>
      <c r="G8" s="4">
        <f t="shared" si="0"/>
        <v>0</v>
      </c>
      <c r="H8">
        <f t="shared" si="1"/>
        <v>1</v>
      </c>
      <c r="J8" t="str">
        <v>OP</v>
      </c>
      <c r="K8" t="str">
        <v>Onpara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 x14ac:dyDescent="0.2">
      <c r="A9" t="str" cm="1">
        <f t="array" ref="A9">INDEX(TEAMLIST!A:A, ROW())</f>
        <v>NX</v>
      </c>
      <c r="B9" t="str" cm="1">
        <f t="array" ref="B9">INDEX(TEAMLIST!B:B, ROW())</f>
        <v>NoXe</v>
      </c>
      <c r="C9">
        <f>IFERROR(VLOOKUP($A9, FinalM1!$A:$F, 6, FALSE), 0)</f>
        <v>0</v>
      </c>
      <c r="D9">
        <f>IFERROR(VLOOKUP($A9, FinalM2!$A:$F, 6, FALSE), 0)</f>
        <v>0</v>
      </c>
      <c r="E9">
        <f>IFERROR(VLOOKUP($A9, FinalM3!$A:$F, 6, FALSE), 0)</f>
        <v>0</v>
      </c>
      <c r="F9">
        <f>IFERROR(VLOOKUP($A9,#REF!, 6, FALSE), 0)</f>
        <v>0</v>
      </c>
      <c r="G9" s="4">
        <f t="shared" si="0"/>
        <v>0</v>
      </c>
      <c r="H9">
        <f t="shared" si="1"/>
        <v>1</v>
      </c>
      <c r="J9" t="str">
        <v>NX</v>
      </c>
      <c r="K9" t="str">
        <v>NoXe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 x14ac:dyDescent="0.2">
      <c r="A10" t="str" cm="1">
        <f t="array" ref="A10">INDEX(TEAMLIST!A:A, ROW())</f>
        <v>SBZ</v>
      </c>
      <c r="B10" t="str" cm="1">
        <f t="array" ref="B10">INDEX(TEAMLIST!B:B, ROW())</f>
        <v>SEEBRAZ</v>
      </c>
      <c r="C10">
        <f>IFERROR(VLOOKUP($A10, FinalM1!$A:$F, 6, FALSE), 0)</f>
        <v>0</v>
      </c>
      <c r="D10">
        <f>IFERROR(VLOOKUP($A10, FinalM2!$A:$F, 6, FALSE), 0)</f>
        <v>0</v>
      </c>
      <c r="E10">
        <f>IFERROR(VLOOKUP($A10, FinalM3!$A:$F, 6, FALSE), 0)</f>
        <v>0</v>
      </c>
      <c r="F10">
        <f>IFERROR(VLOOKUP($A10,#REF!, 6, FALSE), 0)</f>
        <v>0</v>
      </c>
      <c r="G10" s="4">
        <f t="shared" si="0"/>
        <v>0</v>
      </c>
      <c r="H10">
        <f t="shared" si="1"/>
        <v>1</v>
      </c>
      <c r="J10" t="str">
        <v>SBZ</v>
      </c>
      <c r="K10" t="str">
        <v>SEEBRAZ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 x14ac:dyDescent="0.2">
      <c r="A11" t="str" cm="1">
        <f t="array" ref="A11">INDEX(TEAMLIST!A:A, ROW())</f>
        <v>FF</v>
      </c>
      <c r="B11" t="str" cm="1">
        <f t="array" ref="B11">INDEX(TEAMLIST!B:B, ROW())</f>
        <v>ff</v>
      </c>
      <c r="C11">
        <f>IFERROR(VLOOKUP($A11, FinalM1!$A:$F, 6, FALSE), 0)</f>
        <v>0</v>
      </c>
      <c r="D11">
        <f>IFERROR(VLOOKUP($A11, FinalM2!$A:$F, 6, FALSE), 0)</f>
        <v>0</v>
      </c>
      <c r="E11">
        <f>IFERROR(VLOOKUP($A11, FinalM3!$A:$F, 6, FALSE), 0)</f>
        <v>0</v>
      </c>
      <c r="F11">
        <f>IFERROR(VLOOKUP($A11,#REF!, 6, FALSE), 0)</f>
        <v>0</v>
      </c>
      <c r="G11" s="4">
        <f t="shared" si="0"/>
        <v>0</v>
      </c>
      <c r="H11">
        <f t="shared" si="1"/>
        <v>1</v>
      </c>
      <c r="J11" t="str">
        <v>FF</v>
      </c>
      <c r="K11" t="str">
        <v>ff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  <row r="12" spans="1:17" x14ac:dyDescent="0.2">
      <c r="A12" t="str" cm="1">
        <f t="array" ref="A12">INDEX(TEAMLIST!A:A, ROW())</f>
        <v>SDF</v>
      </c>
      <c r="B12" t="str" cm="1">
        <f t="array" ref="B12">INDEX(TEAMLIST!B:B, ROW())</f>
        <v>sdfsdf</v>
      </c>
      <c r="C12">
        <f>IFERROR(VLOOKUP($A12, FinalM1!$A:$F, 6, FALSE), 0)</f>
        <v>0</v>
      </c>
      <c r="D12">
        <f>IFERROR(VLOOKUP($A12, FinalM2!$A:$F, 6, FALSE), 0)</f>
        <v>0</v>
      </c>
      <c r="E12">
        <f>IFERROR(VLOOKUP($A12, FinalM3!$A:$F, 6, FALSE), 0)</f>
        <v>0</v>
      </c>
      <c r="F12">
        <f>IFERROR(VLOOKUP($A12,#REF!, 6, FALSE), 0)</f>
        <v>0</v>
      </c>
      <c r="G12" s="4">
        <f t="shared" si="0"/>
        <v>0</v>
      </c>
      <c r="H12">
        <f t="shared" si="1"/>
        <v>1</v>
      </c>
      <c r="J12" t="str">
        <v>SDF</v>
      </c>
      <c r="K12" t="str">
        <v>sdfsdf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</row>
    <row r="13" spans="1:17" x14ac:dyDescent="0.2">
      <c r="A13" t="str" cm="1">
        <f t="array" ref="A13">INDEX(TEAMLIST!A:A, ROW())</f>
        <v>HHH</v>
      </c>
      <c r="B13" t="str" cm="1">
        <f t="array" ref="B13">INDEX(TEAMLIST!B:B, ROW())</f>
        <v>HHHH</v>
      </c>
      <c r="C13">
        <f>IFERROR(VLOOKUP($A13, FinalM1!$A:$F, 6, FALSE), 0)</f>
        <v>0</v>
      </c>
      <c r="D13">
        <f>IFERROR(VLOOKUP($A13, FinalM2!$A:$F, 6, FALSE), 0)</f>
        <v>0</v>
      </c>
      <c r="E13">
        <f>IFERROR(VLOOKUP($A13, FinalM3!$A:$F, 6, FALSE), 0)</f>
        <v>0</v>
      </c>
      <c r="F13">
        <f>IFERROR(VLOOKUP($A13,#REF!, 6, FALSE), 0)</f>
        <v>0</v>
      </c>
      <c r="G13" s="4">
        <f t="shared" si="0"/>
        <v>0</v>
      </c>
      <c r="H13">
        <f t="shared" si="1"/>
        <v>1</v>
      </c>
      <c r="J13" t="str">
        <v>HHH</v>
      </c>
      <c r="K13" t="str">
        <v>HHHH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</row>
    <row r="14" spans="1:17" x14ac:dyDescent="0.2">
      <c r="A14" t="str" cm="1">
        <f t="array" ref="A14">INDEX(TEAMLIST!A:A, ROW())</f>
        <v>SSEE</v>
      </c>
      <c r="B14" t="str" cm="1">
        <f t="array" ref="B14">INDEX(TEAMLIST!B:B, ROW())</f>
        <v>SSEE</v>
      </c>
      <c r="C14">
        <f>IFERROR(VLOOKUP($A14, FinalM1!$A:$F, 6, FALSE), 0)</f>
        <v>0</v>
      </c>
      <c r="D14">
        <f>IFERROR(VLOOKUP($A14, FinalM2!$A:$F, 6, FALSE), 0)</f>
        <v>0</v>
      </c>
      <c r="E14">
        <f>IFERROR(VLOOKUP($A14, FinalM3!$A:$F, 6, FALSE), 0)</f>
        <v>0</v>
      </c>
      <c r="F14">
        <f>IFERROR(VLOOKUP($A14,#REF!, 6, FALSE), 0)</f>
        <v>0</v>
      </c>
      <c r="G14" s="4">
        <f t="shared" si="0"/>
        <v>0</v>
      </c>
      <c r="H14">
        <f t="shared" si="1"/>
        <v>1</v>
      </c>
      <c r="J14" t="str">
        <v>SSEE</v>
      </c>
      <c r="K14" t="str">
        <v>SSEE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</row>
    <row r="15" spans="1:17" x14ac:dyDescent="0.2">
      <c r="A15" t="str" cm="1">
        <f t="array" ref="A15">INDEX(TEAMLIST!A:A, ROW())</f>
        <v>RR</v>
      </c>
      <c r="B15" t="str" cm="1">
        <f t="array" ref="B15">INDEX(TEAMLIST!B:B, ROW())</f>
        <v>rr</v>
      </c>
      <c r="C15">
        <f>IFERROR(VLOOKUP($A15, FinalM1!$A:$F, 6, FALSE), 0)</f>
        <v>0</v>
      </c>
      <c r="D15">
        <f>IFERROR(VLOOKUP($A15, FinalM2!$A:$F, 6, FALSE), 0)</f>
        <v>0</v>
      </c>
      <c r="E15">
        <f>IFERROR(VLOOKUP($A15, FinalM3!$A:$F, 6, FALSE), 0)</f>
        <v>0</v>
      </c>
      <c r="F15">
        <f>IFERROR(VLOOKUP($A15,#REF!, 6, FALSE), 0)</f>
        <v>0</v>
      </c>
      <c r="G15" s="4">
        <f t="shared" si="0"/>
        <v>0</v>
      </c>
      <c r="H15">
        <f t="shared" si="1"/>
        <v>1</v>
      </c>
      <c r="J15" t="str">
        <v>RR</v>
      </c>
      <c r="K15" t="str">
        <v>rr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</row>
    <row r="16" spans="1:17" x14ac:dyDescent="0.2">
      <c r="A16" t="str" cm="1">
        <f t="array" ref="A16">INDEX(TEAMLIST!A:A, ROW())</f>
        <v>www</v>
      </c>
      <c r="B16" t="str" cm="1">
        <f t="array" ref="B16">INDEX(TEAMLIST!B:B, ROW())</f>
        <v>wwww</v>
      </c>
      <c r="C16">
        <f>IFERROR(VLOOKUP($A16, FinalM1!$A:$F, 6, FALSE), 0)</f>
        <v>0</v>
      </c>
      <c r="D16">
        <f>IFERROR(VLOOKUP($A16, FinalM2!$A:$F, 6, FALSE), 0)</f>
        <v>0</v>
      </c>
      <c r="E16">
        <f>IFERROR(VLOOKUP($A16, FinalM3!$A:$F, 6, FALSE), 0)</f>
        <v>0</v>
      </c>
      <c r="F16">
        <f>IFERROR(VLOOKUP($A16,#REF!, 6, FALSE), 0)</f>
        <v>0</v>
      </c>
      <c r="G16" s="4">
        <f t="shared" si="0"/>
        <v>0</v>
      </c>
      <c r="H16">
        <f t="shared" si="1"/>
        <v>1</v>
      </c>
      <c r="J16" t="str">
        <v>www</v>
      </c>
      <c r="K16" t="str">
        <v>wwww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</row>
    <row r="17" spans="1:17" x14ac:dyDescent="0.2">
      <c r="A17" t="str" cm="1">
        <f t="array" ref="A17">INDEX(TEAMLIST!A:A, ROW())</f>
        <v>ASFA</v>
      </c>
      <c r="B17" t="str" cm="1">
        <f t="array" ref="B17">INDEX(TEAMLIST!B:B, ROW())</f>
        <v>asfasadsd</v>
      </c>
      <c r="C17">
        <f>IFERROR(VLOOKUP($A17, FinalM1!$A:$F, 6, FALSE), 0)</f>
        <v>0</v>
      </c>
      <c r="D17">
        <f>IFERROR(VLOOKUP($A17, FinalM2!$A:$F, 6, FALSE), 0)</f>
        <v>0</v>
      </c>
      <c r="E17">
        <f>IFERROR(VLOOKUP($A17, FinalM3!$A:$F, 6, FALSE), 0)</f>
        <v>0</v>
      </c>
      <c r="F17">
        <f>IFERROR(VLOOKUP($A17,#REF!, 6, FALSE), 0)</f>
        <v>0</v>
      </c>
      <c r="G17" s="4">
        <f t="shared" si="0"/>
        <v>0</v>
      </c>
      <c r="H17">
        <f t="shared" si="1"/>
        <v>1</v>
      </c>
      <c r="J17" t="str">
        <v>ASFA</v>
      </c>
      <c r="K17" t="str">
        <v>asfasadsd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0EE9-37E2-470B-9B98-AA4DA8CDB4A9}">
  <sheetPr>
    <tabColor rgb="FF0070C0"/>
  </sheetPr>
  <dimension ref="A1:M17"/>
  <sheetViews>
    <sheetView workbookViewId="0">
      <selection activeCell="H2" sqref="H2"/>
    </sheetView>
  </sheetViews>
  <sheetFormatPr defaultRowHeight="14.25" x14ac:dyDescent="0.2"/>
  <sheetData>
    <row r="1" spans="1:13" ht="33.75" thickBot="1" x14ac:dyDescent="0.25">
      <c r="A1" s="9" t="s">
        <v>79</v>
      </c>
      <c r="B1" s="9" t="s">
        <v>74</v>
      </c>
      <c r="C1" s="9" t="s">
        <v>89</v>
      </c>
      <c r="D1" s="9" t="s">
        <v>90</v>
      </c>
      <c r="E1" s="9" t="s">
        <v>91</v>
      </c>
      <c r="F1" s="9" t="s">
        <v>80</v>
      </c>
    </row>
    <row r="2" spans="1:13" ht="15" thickTop="1" x14ac:dyDescent="0.2">
      <c r="A2" t="str" cm="1">
        <f t="array" ref="A2">INDEX(TEAMLIST!A:A, ROW())</f>
        <v>AWD</v>
      </c>
      <c r="B2" t="str" cm="1">
        <f t="array" ref="B2">INDEX(TEAMLIST!B:B, ROW())</f>
        <v>Award</v>
      </c>
      <c r="C2">
        <f>IFERROR(VLOOKUP($A2,'DAY SUMMARY W1D1'!$A:$G,7,FALSE),0)</f>
        <v>1</v>
      </c>
      <c r="D2">
        <f>IFERROR(VLOOKUP($A2,'DAY SUMMARY W1D2'!$A:$G,7,FALSE),0)</f>
        <v>0</v>
      </c>
      <c r="E2" s="4">
        <f>SUM(C2:D2)</f>
        <v>1</v>
      </c>
      <c r="F2">
        <f>IFERROR(RANK(E2,$E$2:$E$17,0),0)</f>
        <v>3</v>
      </c>
      <c r="H2" t="str" cm="1">
        <f t="array" ref="H2:M17">_xlfn._xlws.SORT(A2:F17, 6, 1)</f>
        <v>RR</v>
      </c>
      <c r="I2" t="str">
        <v>rr</v>
      </c>
      <c r="J2">
        <v>5</v>
      </c>
      <c r="K2">
        <v>0</v>
      </c>
      <c r="L2">
        <v>5</v>
      </c>
      <c r="M2">
        <v>1</v>
      </c>
    </row>
    <row r="3" spans="1:13" x14ac:dyDescent="0.2">
      <c r="A3" t="str" cm="1">
        <f t="array" ref="A3">INDEX(TEAMLIST!A:A, ROW())</f>
        <v>BOS</v>
      </c>
      <c r="B3" t="str" cm="1">
        <f t="array" ref="B3">INDEX(TEAMLIST!B:B, ROW())</f>
        <v>BOSS</v>
      </c>
      <c r="C3">
        <f>IFERROR(VLOOKUP($A3,'DAY SUMMARY W1D1'!$A:$G,7,FALSE),0)</f>
        <v>0</v>
      </c>
      <c r="D3">
        <f>IFERROR(VLOOKUP($A3,'DAY SUMMARY W1D2'!$A:$G,7,FALSE),0)</f>
        <v>0</v>
      </c>
      <c r="E3" s="4">
        <f t="shared" ref="E3:E17" si="0">SUM(C3:D3)</f>
        <v>0</v>
      </c>
      <c r="F3">
        <f t="shared" ref="F3:F17" si="1">IFERROR(RANK(E3,$E$2:$E$17,0),0)</f>
        <v>4</v>
      </c>
      <c r="H3" t="str">
        <v>RD</v>
      </c>
      <c r="I3" t="str">
        <v>Raddom</v>
      </c>
      <c r="J3">
        <v>3</v>
      </c>
      <c r="K3">
        <v>0</v>
      </c>
      <c r="L3">
        <v>3</v>
      </c>
      <c r="M3">
        <v>2</v>
      </c>
    </row>
    <row r="4" spans="1:13" x14ac:dyDescent="0.2">
      <c r="A4" t="str" cm="1">
        <f t="array" ref="A4">INDEX(TEAMLIST!A:A, ROW())</f>
        <v>NVD</v>
      </c>
      <c r="B4" t="str" cm="1">
        <f t="array" ref="B4">INDEX(TEAMLIST!B:B, ROW())</f>
        <v>NerverDIe</v>
      </c>
      <c r="C4">
        <f>IFERROR(VLOOKUP($A4,'DAY SUMMARY W1D1'!$A:$G,7,FALSE),0)</f>
        <v>0</v>
      </c>
      <c r="D4">
        <f>IFERROR(VLOOKUP($A4,'DAY SUMMARY W1D2'!$A:$G,7,FALSE),0)</f>
        <v>0</v>
      </c>
      <c r="E4" s="4">
        <f t="shared" si="0"/>
        <v>0</v>
      </c>
      <c r="F4">
        <f t="shared" si="1"/>
        <v>4</v>
      </c>
      <c r="H4" t="str">
        <v>AWD</v>
      </c>
      <c r="I4" t="str">
        <v>Award</v>
      </c>
      <c r="J4">
        <v>1</v>
      </c>
      <c r="K4">
        <v>0</v>
      </c>
      <c r="L4">
        <v>1</v>
      </c>
      <c r="M4">
        <v>3</v>
      </c>
    </row>
    <row r="5" spans="1:13" x14ac:dyDescent="0.2">
      <c r="A5" t="str" cm="1">
        <f t="array" ref="A5">INDEX(TEAMLIST!A:A, ROW())</f>
        <v>SBD</v>
      </c>
      <c r="B5" t="str" cm="1">
        <f t="array" ref="B5">INDEX(TEAMLIST!B:B, ROW())</f>
        <v>Skibidy</v>
      </c>
      <c r="C5">
        <f>IFERROR(VLOOKUP($A5,'DAY SUMMARY W1D1'!$A:$G,7,FALSE),0)</f>
        <v>0</v>
      </c>
      <c r="D5">
        <f>IFERROR(VLOOKUP($A5,'DAY SUMMARY W1D2'!$A:$G,7,FALSE),0)</f>
        <v>0</v>
      </c>
      <c r="E5" s="4">
        <f t="shared" si="0"/>
        <v>0</v>
      </c>
      <c r="F5">
        <f t="shared" si="1"/>
        <v>4</v>
      </c>
      <c r="H5" t="str">
        <v>BOS</v>
      </c>
      <c r="I5" t="str">
        <v>BOSS</v>
      </c>
      <c r="J5">
        <v>0</v>
      </c>
      <c r="K5">
        <v>0</v>
      </c>
      <c r="L5">
        <v>0</v>
      </c>
      <c r="M5">
        <v>4</v>
      </c>
    </row>
    <row r="6" spans="1:13" x14ac:dyDescent="0.2">
      <c r="A6" t="str" cm="1">
        <f t="array" ref="A6">INDEX(TEAMLIST!A:A, ROW())</f>
        <v>RD</v>
      </c>
      <c r="B6" t="str" cm="1">
        <f t="array" ref="B6">INDEX(TEAMLIST!B:B, ROW())</f>
        <v>Raddom</v>
      </c>
      <c r="C6">
        <f>IFERROR(VLOOKUP($A6,'DAY SUMMARY W1D1'!$A:$G,7,FALSE),0)</f>
        <v>3</v>
      </c>
      <c r="D6">
        <f>IFERROR(VLOOKUP($A6,'DAY SUMMARY W1D2'!$A:$G,7,FALSE),0)</f>
        <v>0</v>
      </c>
      <c r="E6" s="4">
        <f t="shared" si="0"/>
        <v>3</v>
      </c>
      <c r="F6">
        <f t="shared" si="1"/>
        <v>2</v>
      </c>
      <c r="H6" t="str">
        <v>NVD</v>
      </c>
      <c r="I6" t="str">
        <v>NerverDIe</v>
      </c>
      <c r="J6">
        <v>0</v>
      </c>
      <c r="K6">
        <v>0</v>
      </c>
      <c r="L6">
        <v>0</v>
      </c>
      <c r="M6">
        <v>4</v>
      </c>
    </row>
    <row r="7" spans="1:13" x14ac:dyDescent="0.2">
      <c r="A7" t="str" cm="1">
        <f t="array" ref="A7">INDEX(TEAMLIST!A:A, ROW())</f>
        <v>SSRS</v>
      </c>
      <c r="B7" t="str" cm="1">
        <f t="array" ref="B7">INDEX(TEAMLIST!B:B, ROW())</f>
        <v>SaSaRaSa</v>
      </c>
      <c r="C7">
        <f>IFERROR(VLOOKUP($A7,'DAY SUMMARY W1D1'!$A:$G,7,FALSE),0)</f>
        <v>0</v>
      </c>
      <c r="D7">
        <f>IFERROR(VLOOKUP($A7,'DAY SUMMARY W1D2'!$A:$G,7,FALSE),0)</f>
        <v>0</v>
      </c>
      <c r="E7" s="4">
        <f t="shared" si="0"/>
        <v>0</v>
      </c>
      <c r="F7">
        <f t="shared" si="1"/>
        <v>4</v>
      </c>
      <c r="H7" t="str">
        <v>SBD</v>
      </c>
      <c r="I7" t="str">
        <v>Skibidy</v>
      </c>
      <c r="J7">
        <v>0</v>
      </c>
      <c r="K7">
        <v>0</v>
      </c>
      <c r="L7">
        <v>0</v>
      </c>
      <c r="M7">
        <v>4</v>
      </c>
    </row>
    <row r="8" spans="1:13" x14ac:dyDescent="0.2">
      <c r="A8" t="str" cm="1">
        <f t="array" ref="A8">INDEX(TEAMLIST!A:A, ROW())</f>
        <v>OP</v>
      </c>
      <c r="B8" t="str" cm="1">
        <f t="array" ref="B8">INDEX(TEAMLIST!B:B, ROW())</f>
        <v>Onpara</v>
      </c>
      <c r="C8">
        <f>IFERROR(VLOOKUP($A8,'DAY SUMMARY W1D1'!$A:$G,7,FALSE),0)</f>
        <v>0</v>
      </c>
      <c r="D8">
        <f>IFERROR(VLOOKUP($A8,'DAY SUMMARY W1D2'!$A:$G,7,FALSE),0)</f>
        <v>0</v>
      </c>
      <c r="E8" s="4">
        <f t="shared" si="0"/>
        <v>0</v>
      </c>
      <c r="F8">
        <f t="shared" si="1"/>
        <v>4</v>
      </c>
      <c r="H8" t="str">
        <v>SSRS</v>
      </c>
      <c r="I8" t="str">
        <v>SaSaRaSa</v>
      </c>
      <c r="J8">
        <v>0</v>
      </c>
      <c r="K8">
        <v>0</v>
      </c>
      <c r="L8">
        <v>0</v>
      </c>
      <c r="M8">
        <v>4</v>
      </c>
    </row>
    <row r="9" spans="1:13" x14ac:dyDescent="0.2">
      <c r="A9" t="str" cm="1">
        <f t="array" ref="A9">INDEX(TEAMLIST!A:A, ROW())</f>
        <v>NX</v>
      </c>
      <c r="B9" t="str" cm="1">
        <f t="array" ref="B9">INDEX(TEAMLIST!B:B, ROW())</f>
        <v>NoXe</v>
      </c>
      <c r="C9">
        <f>IFERROR(VLOOKUP($A9,'DAY SUMMARY W1D1'!$A:$G,7,FALSE),0)</f>
        <v>0</v>
      </c>
      <c r="D9">
        <f>IFERROR(VLOOKUP($A9,'DAY SUMMARY W1D2'!$A:$G,7,FALSE),0)</f>
        <v>0</v>
      </c>
      <c r="E9" s="4">
        <f t="shared" si="0"/>
        <v>0</v>
      </c>
      <c r="F9">
        <f t="shared" si="1"/>
        <v>4</v>
      </c>
      <c r="H9" t="str">
        <v>OP</v>
      </c>
      <c r="I9" t="str">
        <v>Onpara</v>
      </c>
      <c r="J9">
        <v>0</v>
      </c>
      <c r="K9">
        <v>0</v>
      </c>
      <c r="L9">
        <v>0</v>
      </c>
      <c r="M9">
        <v>4</v>
      </c>
    </row>
    <row r="10" spans="1:13" x14ac:dyDescent="0.2">
      <c r="A10" t="str" cm="1">
        <f t="array" ref="A10">INDEX(TEAMLIST!A:A, ROW())</f>
        <v>SBZ</v>
      </c>
      <c r="B10" t="str" cm="1">
        <f t="array" ref="B10">INDEX(TEAMLIST!B:B, ROW())</f>
        <v>SEEBRAZ</v>
      </c>
      <c r="C10">
        <f>IFERROR(VLOOKUP($A10,'DAY SUMMARY W1D1'!$A:$G,7,FALSE),0)</f>
        <v>0</v>
      </c>
      <c r="D10">
        <f>IFERROR(VLOOKUP($A10,'DAY SUMMARY W1D2'!$A:$G,7,FALSE),0)</f>
        <v>0</v>
      </c>
      <c r="E10" s="4">
        <f t="shared" si="0"/>
        <v>0</v>
      </c>
      <c r="F10">
        <f t="shared" si="1"/>
        <v>4</v>
      </c>
      <c r="H10" t="str">
        <v>NX</v>
      </c>
      <c r="I10" t="str">
        <v>NoXe</v>
      </c>
      <c r="J10">
        <v>0</v>
      </c>
      <c r="K10">
        <v>0</v>
      </c>
      <c r="L10">
        <v>0</v>
      </c>
      <c r="M10">
        <v>4</v>
      </c>
    </row>
    <row r="11" spans="1:13" x14ac:dyDescent="0.2">
      <c r="A11" t="str" cm="1">
        <f t="array" ref="A11">INDEX(TEAMLIST!A:A, ROW())</f>
        <v>FF</v>
      </c>
      <c r="B11" t="str" cm="1">
        <f t="array" ref="B11">INDEX(TEAMLIST!B:B, ROW())</f>
        <v>ff</v>
      </c>
      <c r="C11">
        <f>IFERROR(VLOOKUP($A11,'DAY SUMMARY W1D1'!$A:$G,7,FALSE),0)</f>
        <v>0</v>
      </c>
      <c r="D11">
        <f>IFERROR(VLOOKUP($A11,'DAY SUMMARY W1D2'!$A:$G,7,FALSE),0)</f>
        <v>0</v>
      </c>
      <c r="E11" s="4">
        <f t="shared" si="0"/>
        <v>0</v>
      </c>
      <c r="F11">
        <f t="shared" si="1"/>
        <v>4</v>
      </c>
      <c r="H11" t="str">
        <v>SBZ</v>
      </c>
      <c r="I11" t="str">
        <v>SEEBRAZ</v>
      </c>
      <c r="J11">
        <v>0</v>
      </c>
      <c r="K11">
        <v>0</v>
      </c>
      <c r="L11">
        <v>0</v>
      </c>
      <c r="M11">
        <v>4</v>
      </c>
    </row>
    <row r="12" spans="1:13" x14ac:dyDescent="0.2">
      <c r="A12" t="str" cm="1">
        <f t="array" ref="A12">INDEX(TEAMLIST!A:A, ROW())</f>
        <v>SDF</v>
      </c>
      <c r="B12" t="str" cm="1">
        <f t="array" ref="B12">INDEX(TEAMLIST!B:B, ROW())</f>
        <v>sdfsdf</v>
      </c>
      <c r="C12">
        <f>IFERROR(VLOOKUP($A12,'DAY SUMMARY W1D1'!$A:$G,7,FALSE),0)</f>
        <v>0</v>
      </c>
      <c r="D12">
        <f>IFERROR(VLOOKUP($A12,'DAY SUMMARY W1D2'!$A:$G,7,FALSE),0)</f>
        <v>0</v>
      </c>
      <c r="E12" s="4">
        <f t="shared" si="0"/>
        <v>0</v>
      </c>
      <c r="F12">
        <f t="shared" si="1"/>
        <v>4</v>
      </c>
      <c r="H12" t="str">
        <v>FF</v>
      </c>
      <c r="I12" t="str">
        <v>ff</v>
      </c>
      <c r="J12">
        <v>0</v>
      </c>
      <c r="K12">
        <v>0</v>
      </c>
      <c r="L12">
        <v>0</v>
      </c>
      <c r="M12">
        <v>4</v>
      </c>
    </row>
    <row r="13" spans="1:13" x14ac:dyDescent="0.2">
      <c r="A13" t="str" cm="1">
        <f t="array" ref="A13">INDEX(TEAMLIST!A:A, ROW())</f>
        <v>HHH</v>
      </c>
      <c r="B13" t="str" cm="1">
        <f t="array" ref="B13">INDEX(TEAMLIST!B:B, ROW())</f>
        <v>HHHH</v>
      </c>
      <c r="C13">
        <f>IFERROR(VLOOKUP($A13,'DAY SUMMARY W1D1'!$A:$G,7,FALSE),0)</f>
        <v>0</v>
      </c>
      <c r="D13">
        <f>IFERROR(VLOOKUP($A13,'DAY SUMMARY W1D2'!$A:$G,7,FALSE),0)</f>
        <v>0</v>
      </c>
      <c r="E13" s="4">
        <f t="shared" si="0"/>
        <v>0</v>
      </c>
      <c r="F13">
        <f t="shared" si="1"/>
        <v>4</v>
      </c>
      <c r="H13" t="str">
        <v>SDF</v>
      </c>
      <c r="I13" t="str">
        <v>sdfsdf</v>
      </c>
      <c r="J13">
        <v>0</v>
      </c>
      <c r="K13">
        <v>0</v>
      </c>
      <c r="L13">
        <v>0</v>
      </c>
      <c r="M13">
        <v>4</v>
      </c>
    </row>
    <row r="14" spans="1:13" x14ac:dyDescent="0.2">
      <c r="A14" t="str" cm="1">
        <f t="array" ref="A14">INDEX(TEAMLIST!A:A, ROW())</f>
        <v>SSEE</v>
      </c>
      <c r="B14" t="str" cm="1">
        <f t="array" ref="B14">INDEX(TEAMLIST!B:B, ROW())</f>
        <v>SSEE</v>
      </c>
      <c r="C14">
        <f>IFERROR(VLOOKUP($A14,'DAY SUMMARY W1D1'!$A:$G,7,FALSE),0)</f>
        <v>0</v>
      </c>
      <c r="D14">
        <f>IFERROR(VLOOKUP($A14,'DAY SUMMARY W1D2'!$A:$G,7,FALSE),0)</f>
        <v>0</v>
      </c>
      <c r="E14" s="4">
        <f t="shared" si="0"/>
        <v>0</v>
      </c>
      <c r="F14">
        <f t="shared" si="1"/>
        <v>4</v>
      </c>
      <c r="H14" t="str">
        <v>HHH</v>
      </c>
      <c r="I14" t="str">
        <v>HHHH</v>
      </c>
      <c r="J14">
        <v>0</v>
      </c>
      <c r="K14">
        <v>0</v>
      </c>
      <c r="L14">
        <v>0</v>
      </c>
      <c r="M14">
        <v>4</v>
      </c>
    </row>
    <row r="15" spans="1:13" x14ac:dyDescent="0.2">
      <c r="A15" t="str" cm="1">
        <f t="array" ref="A15">INDEX(TEAMLIST!A:A, ROW())</f>
        <v>RR</v>
      </c>
      <c r="B15" t="str" cm="1">
        <f t="array" ref="B15">INDEX(TEAMLIST!B:B, ROW())</f>
        <v>rr</v>
      </c>
      <c r="C15">
        <f>IFERROR(VLOOKUP($A15,'DAY SUMMARY W1D1'!$A:$G,7,FALSE),0)</f>
        <v>5</v>
      </c>
      <c r="D15">
        <f>IFERROR(VLOOKUP($A15,'DAY SUMMARY W1D2'!$A:$G,7,FALSE),0)</f>
        <v>0</v>
      </c>
      <c r="E15" s="4">
        <f t="shared" si="0"/>
        <v>5</v>
      </c>
      <c r="F15">
        <f t="shared" si="1"/>
        <v>1</v>
      </c>
      <c r="H15" t="str">
        <v>SSEE</v>
      </c>
      <c r="I15" t="str">
        <v>SSEE</v>
      </c>
      <c r="J15">
        <v>0</v>
      </c>
      <c r="K15">
        <v>0</v>
      </c>
      <c r="L15">
        <v>0</v>
      </c>
      <c r="M15">
        <v>4</v>
      </c>
    </row>
    <row r="16" spans="1:13" x14ac:dyDescent="0.2">
      <c r="A16" t="str" cm="1">
        <f t="array" ref="A16">INDEX(TEAMLIST!A:A, ROW())</f>
        <v>www</v>
      </c>
      <c r="B16" t="str" cm="1">
        <f t="array" ref="B16">INDEX(TEAMLIST!B:B, ROW())</f>
        <v>wwww</v>
      </c>
      <c r="C16">
        <f>IFERROR(VLOOKUP($A16,'DAY SUMMARY W1D1'!$A:$G,7,FALSE),0)</f>
        <v>0</v>
      </c>
      <c r="D16">
        <f>IFERROR(VLOOKUP($A16,'DAY SUMMARY W1D2'!$A:$G,7,FALSE),0)</f>
        <v>0</v>
      </c>
      <c r="E16" s="4">
        <f t="shared" si="0"/>
        <v>0</v>
      </c>
      <c r="F16">
        <f t="shared" si="1"/>
        <v>4</v>
      </c>
      <c r="H16" t="str">
        <v>www</v>
      </c>
      <c r="I16" t="str">
        <v>wwww</v>
      </c>
      <c r="J16">
        <v>0</v>
      </c>
      <c r="K16">
        <v>0</v>
      </c>
      <c r="L16">
        <v>0</v>
      </c>
      <c r="M16">
        <v>4</v>
      </c>
    </row>
    <row r="17" spans="1:13" x14ac:dyDescent="0.2">
      <c r="A17" t="str" cm="1">
        <f t="array" ref="A17">INDEX(TEAMLIST!A:A, ROW())</f>
        <v>ASFA</v>
      </c>
      <c r="B17" t="str" cm="1">
        <f t="array" ref="B17">INDEX(TEAMLIST!B:B, ROW())</f>
        <v>asfasadsd</v>
      </c>
      <c r="C17">
        <f>IFERROR(VLOOKUP($A17,'DAY SUMMARY W1D1'!$A:$G,7,FALSE),0)</f>
        <v>0</v>
      </c>
      <c r="D17">
        <f>IFERROR(VLOOKUP($A17,'DAY SUMMARY W1D2'!$A:$G,7,FALSE),0)</f>
        <v>0</v>
      </c>
      <c r="E17" s="4">
        <f t="shared" si="0"/>
        <v>0</v>
      </c>
      <c r="F17">
        <f t="shared" si="1"/>
        <v>4</v>
      </c>
      <c r="H17" t="str">
        <v>ASFA</v>
      </c>
      <c r="I17" t="str">
        <v>asfasadsd</v>
      </c>
      <c r="J17">
        <v>0</v>
      </c>
      <c r="K17">
        <v>0</v>
      </c>
      <c r="L17">
        <v>0</v>
      </c>
      <c r="M17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D7080-B762-47FC-91A5-ECC3FC2C378C}">
  <sheetPr>
    <tabColor rgb="FF0070C0"/>
  </sheetPr>
  <dimension ref="A1:M18"/>
  <sheetViews>
    <sheetView workbookViewId="0">
      <selection activeCell="H2" sqref="H2"/>
    </sheetView>
  </sheetViews>
  <sheetFormatPr defaultRowHeight="14.25" x14ac:dyDescent="0.2"/>
  <sheetData>
    <row r="1" spans="1:13" ht="29.25" thickBot="1" x14ac:dyDescent="0.25">
      <c r="A1" s="2" t="s">
        <v>79</v>
      </c>
      <c r="B1" s="2" t="s">
        <v>74</v>
      </c>
      <c r="C1" s="2" t="s">
        <v>89</v>
      </c>
      <c r="D1" s="2" t="s">
        <v>90</v>
      </c>
      <c r="E1" s="2" t="s">
        <v>91</v>
      </c>
      <c r="F1" s="9" t="s">
        <v>80</v>
      </c>
    </row>
    <row r="2" spans="1:13" ht="15" thickTop="1" x14ac:dyDescent="0.2">
      <c r="A2" t="str" cm="1">
        <f t="array" ref="A2">INDEX(TEAMLIST!A:A, ROW())</f>
        <v>AWD</v>
      </c>
      <c r="B2" t="str" cm="1">
        <f t="array" ref="B2">INDEX(TEAMLIST!B:B, ROW())</f>
        <v>Award</v>
      </c>
      <c r="C2">
        <f>IFERROR(VLOOKUP($A2,'DAY SUMMARY W2D1'!$A:$G,7,FALSE),0)</f>
        <v>0</v>
      </c>
      <c r="D2">
        <f>IFERROR(VLOOKUP($A2,'DAY SUMMARY W2D2'!$A:$G,7,FALSE),0)</f>
        <v>0</v>
      </c>
      <c r="E2" s="4">
        <f>SUM(C2:D2)</f>
        <v>0</v>
      </c>
      <c r="F2">
        <f>IFERROR(RANK(E2,$E$2:$E$17,0),0)</f>
        <v>1</v>
      </c>
      <c r="H2" t="str" cm="1">
        <f t="array" ref="H2:M17">_xlfn._xlws.SORT(A2:F17, 6, 1)</f>
        <v>AWD</v>
      </c>
      <c r="I2" t="str">
        <v>Award</v>
      </c>
      <c r="J2">
        <v>0</v>
      </c>
      <c r="K2">
        <v>0</v>
      </c>
      <c r="L2">
        <v>0</v>
      </c>
      <c r="M2">
        <v>1</v>
      </c>
    </row>
    <row r="3" spans="1:13" x14ac:dyDescent="0.2">
      <c r="A3" t="str" cm="1">
        <f t="array" ref="A3">INDEX(TEAMLIST!A:A, ROW())</f>
        <v>BOS</v>
      </c>
      <c r="B3" t="str" cm="1">
        <f t="array" ref="B3">INDEX(TEAMLIST!B:B, ROW())</f>
        <v>BOSS</v>
      </c>
      <c r="C3">
        <f>IFERROR(VLOOKUP($A3,'DAY SUMMARY W2D1'!$A:$G,7,FALSE),0)</f>
        <v>0</v>
      </c>
      <c r="D3">
        <f>IFERROR(VLOOKUP($A3,'DAY SUMMARY W2D2'!$A:$G,7,FALSE),0)</f>
        <v>0</v>
      </c>
      <c r="E3" s="4">
        <f t="shared" ref="E3:E17" si="0">SUM(C3:D3)</f>
        <v>0</v>
      </c>
      <c r="F3">
        <f t="shared" ref="F3:F17" si="1">IFERROR(RANK(E3,$E$2:$E$17,0),0)</f>
        <v>1</v>
      </c>
      <c r="H3" t="str">
        <v>BOS</v>
      </c>
      <c r="I3" t="str">
        <v>BOSS</v>
      </c>
      <c r="J3">
        <v>0</v>
      </c>
      <c r="K3">
        <v>0</v>
      </c>
      <c r="L3">
        <v>0</v>
      </c>
      <c r="M3">
        <v>1</v>
      </c>
    </row>
    <row r="4" spans="1:13" x14ac:dyDescent="0.2">
      <c r="A4" t="str" cm="1">
        <f t="array" ref="A4">INDEX(TEAMLIST!A:A, ROW())</f>
        <v>NVD</v>
      </c>
      <c r="B4" t="str" cm="1">
        <f t="array" ref="B4">INDEX(TEAMLIST!B:B, ROW())</f>
        <v>NerverDIe</v>
      </c>
      <c r="C4">
        <f>IFERROR(VLOOKUP($A4,'DAY SUMMARY W2D1'!$A:$G,7,FALSE),0)</f>
        <v>0</v>
      </c>
      <c r="D4">
        <f>IFERROR(VLOOKUP($A4,'DAY SUMMARY W2D2'!$A:$G,7,FALSE),0)</f>
        <v>0</v>
      </c>
      <c r="E4" s="4">
        <f t="shared" si="0"/>
        <v>0</v>
      </c>
      <c r="F4">
        <f t="shared" si="1"/>
        <v>1</v>
      </c>
      <c r="H4" t="str">
        <v>NVD</v>
      </c>
      <c r="I4" t="str">
        <v>NerverDIe</v>
      </c>
      <c r="J4">
        <v>0</v>
      </c>
      <c r="K4">
        <v>0</v>
      </c>
      <c r="L4">
        <v>0</v>
      </c>
      <c r="M4">
        <v>1</v>
      </c>
    </row>
    <row r="5" spans="1:13" x14ac:dyDescent="0.2">
      <c r="A5" t="str" cm="1">
        <f t="array" ref="A5">INDEX(TEAMLIST!A:A, ROW())</f>
        <v>SBD</v>
      </c>
      <c r="B5" t="str" cm="1">
        <f t="array" ref="B5">INDEX(TEAMLIST!B:B, ROW())</f>
        <v>Skibidy</v>
      </c>
      <c r="C5">
        <f>IFERROR(VLOOKUP($A5,'DAY SUMMARY W2D1'!$A:$G,7,FALSE),0)</f>
        <v>0</v>
      </c>
      <c r="D5">
        <f>IFERROR(VLOOKUP($A5,'DAY SUMMARY W2D2'!$A:$G,7,FALSE),0)</f>
        <v>0</v>
      </c>
      <c r="E5" s="4">
        <f t="shared" si="0"/>
        <v>0</v>
      </c>
      <c r="F5">
        <f t="shared" si="1"/>
        <v>1</v>
      </c>
      <c r="H5" t="str">
        <v>SBD</v>
      </c>
      <c r="I5" t="str">
        <v>Skibidy</v>
      </c>
      <c r="J5">
        <v>0</v>
      </c>
      <c r="K5">
        <v>0</v>
      </c>
      <c r="L5">
        <v>0</v>
      </c>
      <c r="M5">
        <v>1</v>
      </c>
    </row>
    <row r="6" spans="1:13" x14ac:dyDescent="0.2">
      <c r="A6" t="str" cm="1">
        <f t="array" ref="A6">INDEX(TEAMLIST!A:A, ROW())</f>
        <v>RD</v>
      </c>
      <c r="B6" t="str" cm="1">
        <f t="array" ref="B6">INDEX(TEAMLIST!B:B, ROW())</f>
        <v>Raddom</v>
      </c>
      <c r="C6">
        <f>IFERROR(VLOOKUP($A6,'DAY SUMMARY W2D1'!$A:$G,7,FALSE),0)</f>
        <v>0</v>
      </c>
      <c r="D6">
        <f>IFERROR(VLOOKUP($A6,'DAY SUMMARY W2D2'!$A:$G,7,FALSE),0)</f>
        <v>0</v>
      </c>
      <c r="E6" s="4">
        <f t="shared" si="0"/>
        <v>0</v>
      </c>
      <c r="F6">
        <f t="shared" si="1"/>
        <v>1</v>
      </c>
      <c r="H6" t="str">
        <v>RD</v>
      </c>
      <c r="I6" t="str">
        <v>Raddom</v>
      </c>
      <c r="J6">
        <v>0</v>
      </c>
      <c r="K6">
        <v>0</v>
      </c>
      <c r="L6">
        <v>0</v>
      </c>
      <c r="M6">
        <v>1</v>
      </c>
    </row>
    <row r="7" spans="1:13" x14ac:dyDescent="0.2">
      <c r="A7" t="str" cm="1">
        <f t="array" ref="A7">INDEX(TEAMLIST!A:A, ROW())</f>
        <v>SSRS</v>
      </c>
      <c r="B7" t="str" cm="1">
        <f t="array" ref="B7">INDEX(TEAMLIST!B:B, ROW())</f>
        <v>SaSaRaSa</v>
      </c>
      <c r="C7">
        <f>IFERROR(VLOOKUP($A7,'DAY SUMMARY W2D1'!$A:$G,7,FALSE),0)</f>
        <v>0</v>
      </c>
      <c r="D7">
        <f>IFERROR(VLOOKUP($A7,'DAY SUMMARY W2D2'!$A:$G,7,FALSE),0)</f>
        <v>0</v>
      </c>
      <c r="E7" s="4">
        <f t="shared" si="0"/>
        <v>0</v>
      </c>
      <c r="F7">
        <f t="shared" si="1"/>
        <v>1</v>
      </c>
      <c r="H7" t="str">
        <v>SSRS</v>
      </c>
      <c r="I7" t="str">
        <v>SaSaRaSa</v>
      </c>
      <c r="J7">
        <v>0</v>
      </c>
      <c r="K7">
        <v>0</v>
      </c>
      <c r="L7">
        <v>0</v>
      </c>
      <c r="M7">
        <v>1</v>
      </c>
    </row>
    <row r="8" spans="1:13" x14ac:dyDescent="0.2">
      <c r="A8" t="str" cm="1">
        <f t="array" ref="A8">INDEX(TEAMLIST!A:A, ROW())</f>
        <v>OP</v>
      </c>
      <c r="B8" t="str" cm="1">
        <f t="array" ref="B8">INDEX(TEAMLIST!B:B, ROW())</f>
        <v>Onpara</v>
      </c>
      <c r="C8">
        <f>IFERROR(VLOOKUP($A8,'DAY SUMMARY W2D1'!$A:$G,7,FALSE),0)</f>
        <v>0</v>
      </c>
      <c r="D8">
        <f>IFERROR(VLOOKUP($A8,'DAY SUMMARY W2D2'!$A:$G,7,FALSE),0)</f>
        <v>0</v>
      </c>
      <c r="E8" s="4">
        <f t="shared" si="0"/>
        <v>0</v>
      </c>
      <c r="F8">
        <f t="shared" si="1"/>
        <v>1</v>
      </c>
      <c r="H8" t="str">
        <v>OP</v>
      </c>
      <c r="I8" t="str">
        <v>Onpara</v>
      </c>
      <c r="J8">
        <v>0</v>
      </c>
      <c r="K8">
        <v>0</v>
      </c>
      <c r="L8">
        <v>0</v>
      </c>
      <c r="M8">
        <v>1</v>
      </c>
    </row>
    <row r="9" spans="1:13" x14ac:dyDescent="0.2">
      <c r="A9" t="str" cm="1">
        <f t="array" ref="A9">INDEX(TEAMLIST!A:A, ROW())</f>
        <v>NX</v>
      </c>
      <c r="B9" t="str" cm="1">
        <f t="array" ref="B9">INDEX(TEAMLIST!B:B, ROW())</f>
        <v>NoXe</v>
      </c>
      <c r="C9">
        <f>IFERROR(VLOOKUP($A9,'DAY SUMMARY W2D1'!$A:$G,7,FALSE),0)</f>
        <v>0</v>
      </c>
      <c r="D9">
        <f>IFERROR(VLOOKUP($A9,'DAY SUMMARY W2D2'!$A:$G,7,FALSE),0)</f>
        <v>0</v>
      </c>
      <c r="E9" s="4">
        <f t="shared" si="0"/>
        <v>0</v>
      </c>
      <c r="F9">
        <f t="shared" si="1"/>
        <v>1</v>
      </c>
      <c r="H9" t="str">
        <v>NX</v>
      </c>
      <c r="I9" t="str">
        <v>NoXe</v>
      </c>
      <c r="J9">
        <v>0</v>
      </c>
      <c r="K9">
        <v>0</v>
      </c>
      <c r="L9">
        <v>0</v>
      </c>
      <c r="M9">
        <v>1</v>
      </c>
    </row>
    <row r="10" spans="1:13" x14ac:dyDescent="0.2">
      <c r="A10" t="str" cm="1">
        <f t="array" ref="A10">INDEX(TEAMLIST!A:A, ROW())</f>
        <v>SBZ</v>
      </c>
      <c r="B10" t="str" cm="1">
        <f t="array" ref="B10">INDEX(TEAMLIST!B:B, ROW())</f>
        <v>SEEBRAZ</v>
      </c>
      <c r="C10">
        <f>IFERROR(VLOOKUP($A10,'DAY SUMMARY W2D1'!$A:$G,7,FALSE),0)</f>
        <v>0</v>
      </c>
      <c r="D10">
        <f>IFERROR(VLOOKUP($A10,'DAY SUMMARY W2D2'!$A:$G,7,FALSE),0)</f>
        <v>0</v>
      </c>
      <c r="E10" s="4">
        <f t="shared" si="0"/>
        <v>0</v>
      </c>
      <c r="F10">
        <f t="shared" si="1"/>
        <v>1</v>
      </c>
      <c r="H10" t="str">
        <v>SBZ</v>
      </c>
      <c r="I10" t="str">
        <v>SEEBRAZ</v>
      </c>
      <c r="J10">
        <v>0</v>
      </c>
      <c r="K10">
        <v>0</v>
      </c>
      <c r="L10">
        <v>0</v>
      </c>
      <c r="M10">
        <v>1</v>
      </c>
    </row>
    <row r="11" spans="1:13" x14ac:dyDescent="0.2">
      <c r="A11" t="str" cm="1">
        <f t="array" ref="A11">INDEX(TEAMLIST!A:A, ROW())</f>
        <v>FF</v>
      </c>
      <c r="B11" t="str" cm="1">
        <f t="array" ref="B11">INDEX(TEAMLIST!B:B, ROW())</f>
        <v>ff</v>
      </c>
      <c r="C11">
        <f>IFERROR(VLOOKUP($A11,'DAY SUMMARY W2D1'!$A:$G,7,FALSE),0)</f>
        <v>0</v>
      </c>
      <c r="D11">
        <f>IFERROR(VLOOKUP($A11,'DAY SUMMARY W2D2'!$A:$G,7,FALSE),0)</f>
        <v>0</v>
      </c>
      <c r="E11" s="4">
        <f t="shared" si="0"/>
        <v>0</v>
      </c>
      <c r="F11">
        <f t="shared" si="1"/>
        <v>1</v>
      </c>
      <c r="H11" t="str">
        <v>FF</v>
      </c>
      <c r="I11" t="str">
        <v>ff</v>
      </c>
      <c r="J11">
        <v>0</v>
      </c>
      <c r="K11">
        <v>0</v>
      </c>
      <c r="L11">
        <v>0</v>
      </c>
      <c r="M11">
        <v>1</v>
      </c>
    </row>
    <row r="12" spans="1:13" x14ac:dyDescent="0.2">
      <c r="A12" t="str" cm="1">
        <f t="array" ref="A12">INDEX(TEAMLIST!A:A, ROW())</f>
        <v>SDF</v>
      </c>
      <c r="B12" t="str" cm="1">
        <f t="array" ref="B12">INDEX(TEAMLIST!B:B, ROW())</f>
        <v>sdfsdf</v>
      </c>
      <c r="C12">
        <f>IFERROR(VLOOKUP($A12,'DAY SUMMARY W2D1'!$A:$G,7,FALSE),0)</f>
        <v>0</v>
      </c>
      <c r="D12">
        <f>IFERROR(VLOOKUP($A12,'DAY SUMMARY W2D2'!$A:$G,7,FALSE),0)</f>
        <v>0</v>
      </c>
      <c r="E12" s="4">
        <f t="shared" si="0"/>
        <v>0</v>
      </c>
      <c r="F12">
        <f t="shared" si="1"/>
        <v>1</v>
      </c>
      <c r="H12" t="str">
        <v>SDF</v>
      </c>
      <c r="I12" t="str">
        <v>sdfsdf</v>
      </c>
      <c r="J12">
        <v>0</v>
      </c>
      <c r="K12">
        <v>0</v>
      </c>
      <c r="L12">
        <v>0</v>
      </c>
      <c r="M12">
        <v>1</v>
      </c>
    </row>
    <row r="13" spans="1:13" x14ac:dyDescent="0.2">
      <c r="A13" t="str" cm="1">
        <f t="array" ref="A13">INDEX(TEAMLIST!A:A, ROW())</f>
        <v>HHH</v>
      </c>
      <c r="B13" t="str" cm="1">
        <f t="array" ref="B13">INDEX(TEAMLIST!B:B, ROW())</f>
        <v>HHHH</v>
      </c>
      <c r="C13">
        <f>IFERROR(VLOOKUP($A13,'DAY SUMMARY W2D1'!$A:$G,7,FALSE),0)</f>
        <v>0</v>
      </c>
      <c r="D13">
        <f>IFERROR(VLOOKUP($A13,'DAY SUMMARY W2D2'!$A:$G,7,FALSE),0)</f>
        <v>0</v>
      </c>
      <c r="E13" s="4">
        <f t="shared" si="0"/>
        <v>0</v>
      </c>
      <c r="F13">
        <f t="shared" si="1"/>
        <v>1</v>
      </c>
      <c r="H13" t="str">
        <v>HHH</v>
      </c>
      <c r="I13" t="str">
        <v>HHHH</v>
      </c>
      <c r="J13">
        <v>0</v>
      </c>
      <c r="K13">
        <v>0</v>
      </c>
      <c r="L13">
        <v>0</v>
      </c>
      <c r="M13">
        <v>1</v>
      </c>
    </row>
    <row r="14" spans="1:13" x14ac:dyDescent="0.2">
      <c r="A14" t="str" cm="1">
        <f t="array" ref="A14">INDEX(TEAMLIST!A:A, ROW())</f>
        <v>SSEE</v>
      </c>
      <c r="B14" t="str" cm="1">
        <f t="array" ref="B14">INDEX(TEAMLIST!B:B, ROW())</f>
        <v>SSEE</v>
      </c>
      <c r="C14">
        <f>IFERROR(VLOOKUP($A14,'DAY SUMMARY W2D1'!$A:$G,7,FALSE),0)</f>
        <v>0</v>
      </c>
      <c r="D14">
        <f>IFERROR(VLOOKUP($A14,'DAY SUMMARY W2D2'!$A:$G,7,FALSE),0)</f>
        <v>0</v>
      </c>
      <c r="E14" s="4">
        <f t="shared" si="0"/>
        <v>0</v>
      </c>
      <c r="F14">
        <f t="shared" si="1"/>
        <v>1</v>
      </c>
      <c r="H14" t="str">
        <v>SSEE</v>
      </c>
      <c r="I14" t="str">
        <v>SSEE</v>
      </c>
      <c r="J14">
        <v>0</v>
      </c>
      <c r="K14">
        <v>0</v>
      </c>
      <c r="L14">
        <v>0</v>
      </c>
      <c r="M14">
        <v>1</v>
      </c>
    </row>
    <row r="15" spans="1:13" x14ac:dyDescent="0.2">
      <c r="A15" t="str" cm="1">
        <f t="array" ref="A15">INDEX(TEAMLIST!A:A, ROW())</f>
        <v>RR</v>
      </c>
      <c r="B15" t="str" cm="1">
        <f t="array" ref="B15">INDEX(TEAMLIST!B:B, ROW())</f>
        <v>rr</v>
      </c>
      <c r="C15">
        <f>IFERROR(VLOOKUP($A15,'DAY SUMMARY W2D1'!$A:$G,7,FALSE),0)</f>
        <v>0</v>
      </c>
      <c r="D15">
        <f>IFERROR(VLOOKUP($A15,'DAY SUMMARY W2D2'!$A:$G,7,FALSE),0)</f>
        <v>0</v>
      </c>
      <c r="E15" s="4">
        <f t="shared" si="0"/>
        <v>0</v>
      </c>
      <c r="F15">
        <f t="shared" si="1"/>
        <v>1</v>
      </c>
      <c r="H15" t="str">
        <v>RR</v>
      </c>
      <c r="I15" t="str">
        <v>rr</v>
      </c>
      <c r="J15">
        <v>0</v>
      </c>
      <c r="K15">
        <v>0</v>
      </c>
      <c r="L15">
        <v>0</v>
      </c>
      <c r="M15">
        <v>1</v>
      </c>
    </row>
    <row r="16" spans="1:13" x14ac:dyDescent="0.2">
      <c r="A16" t="str" cm="1">
        <f t="array" ref="A16">INDEX(TEAMLIST!A:A, ROW())</f>
        <v>www</v>
      </c>
      <c r="B16" t="str" cm="1">
        <f t="array" ref="B16">INDEX(TEAMLIST!B:B, ROW())</f>
        <v>wwww</v>
      </c>
      <c r="C16">
        <f>IFERROR(VLOOKUP($A16,'DAY SUMMARY W2D1'!$A:$G,7,FALSE),0)</f>
        <v>0</v>
      </c>
      <c r="D16">
        <f>IFERROR(VLOOKUP($A16,'DAY SUMMARY W2D2'!$A:$G,7,FALSE),0)</f>
        <v>0</v>
      </c>
      <c r="E16" s="4">
        <f t="shared" si="0"/>
        <v>0</v>
      </c>
      <c r="F16">
        <f t="shared" si="1"/>
        <v>1</v>
      </c>
      <c r="H16" t="str">
        <v>www</v>
      </c>
      <c r="I16" t="str">
        <v>wwww</v>
      </c>
      <c r="J16">
        <v>0</v>
      </c>
      <c r="K16">
        <v>0</v>
      </c>
      <c r="L16">
        <v>0</v>
      </c>
      <c r="M16">
        <v>1</v>
      </c>
    </row>
    <row r="17" spans="1:13" x14ac:dyDescent="0.2">
      <c r="A17" t="str" cm="1">
        <f t="array" ref="A17">INDEX(TEAMLIST!A:A, ROW())</f>
        <v>ASFA</v>
      </c>
      <c r="B17" t="str" cm="1">
        <f t="array" ref="B17">INDEX(TEAMLIST!B:B, ROW())</f>
        <v>asfasadsd</v>
      </c>
      <c r="C17">
        <f>IFERROR(VLOOKUP($A17,'DAY SUMMARY W2D1'!$A:$G,7,FALSE),0)</f>
        <v>0</v>
      </c>
      <c r="D17">
        <f>IFERROR(VLOOKUP($A17,'DAY SUMMARY W2D2'!$A:$G,7,FALSE),0)</f>
        <v>0</v>
      </c>
      <c r="E17" s="4">
        <f t="shared" si="0"/>
        <v>0</v>
      </c>
      <c r="F17">
        <f t="shared" si="1"/>
        <v>1</v>
      </c>
      <c r="H17" t="str">
        <v>ASFA</v>
      </c>
      <c r="I17" t="str">
        <v>asfasadsd</v>
      </c>
      <c r="J17">
        <v>0</v>
      </c>
      <c r="K17">
        <v>0</v>
      </c>
      <c r="L17">
        <v>0</v>
      </c>
      <c r="M17">
        <v>1</v>
      </c>
    </row>
    <row r="18" spans="1:13" x14ac:dyDescent="0.2">
      <c r="A18" s="4"/>
      <c r="B18" s="4"/>
      <c r="C18" s="4"/>
      <c r="D18" s="4"/>
      <c r="E18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E323C-809F-4BD4-BB39-6622F31B2A06}">
  <dimension ref="A1:O17"/>
  <sheetViews>
    <sheetView workbookViewId="0">
      <selection activeCell="O17" sqref="O17"/>
    </sheetView>
  </sheetViews>
  <sheetFormatPr defaultRowHeight="14.25" x14ac:dyDescent="0.2"/>
  <cols>
    <col min="6" max="6" width="11.25" customWidth="1"/>
  </cols>
  <sheetData>
    <row r="1" spans="1:15" ht="33.75" thickBot="1" x14ac:dyDescent="0.25">
      <c r="A1" s="10" t="s">
        <v>79</v>
      </c>
      <c r="B1" s="10" t="s">
        <v>74</v>
      </c>
      <c r="C1" s="10" t="s">
        <v>92</v>
      </c>
      <c r="D1" s="10" t="s">
        <v>93</v>
      </c>
      <c r="E1" s="10" t="s">
        <v>94</v>
      </c>
      <c r="F1" s="10" t="s">
        <v>95</v>
      </c>
      <c r="G1" s="10" t="s">
        <v>80</v>
      </c>
    </row>
    <row r="2" spans="1:15" ht="15" thickTop="1" x14ac:dyDescent="0.2">
      <c r="A2" t="str" cm="1">
        <f t="array" ref="A2">INDEX(TEAMLIST!A:A, ROW())</f>
        <v>AWD</v>
      </c>
      <c r="B2" t="str" cm="1">
        <f t="array" ref="B2">INDEX(TEAMLIST!B:B, ROW())</f>
        <v>Award</v>
      </c>
      <c r="C2">
        <f>IFERROR(VLOOKUP($A2,'WEEK SUMMARY W1'!$A:$E,5,FALSE),0)</f>
        <v>1</v>
      </c>
      <c r="D2">
        <f>IFERROR(VLOOKUP($A2,'WEEK SUMMARY W2'!$A:$E,5,FALSE),0)</f>
        <v>0</v>
      </c>
      <c r="E2">
        <f>IFERROR(VLOOKUP($A2,'DAY SUMMARY FINAL'!$A:$G,7,FALSE),0)</f>
        <v>0</v>
      </c>
      <c r="F2">
        <f>SUM(C2:E2)</f>
        <v>1</v>
      </c>
      <c r="G2">
        <f>RANK(F2,$F$2:$F$17,0)</f>
        <v>3</v>
      </c>
      <c r="I2" t="str" cm="1">
        <f t="array" ref="I2:O17">_xlfn._xlws.SORT(A2:G17, 7, 1)</f>
        <v>RR</v>
      </c>
      <c r="J2" t="str">
        <v>rr</v>
      </c>
      <c r="K2">
        <v>5</v>
      </c>
      <c r="L2">
        <v>0</v>
      </c>
      <c r="M2">
        <v>0</v>
      </c>
      <c r="N2">
        <v>5</v>
      </c>
      <c r="O2">
        <v>1</v>
      </c>
    </row>
    <row r="3" spans="1:15" x14ac:dyDescent="0.2">
      <c r="A3" t="str" cm="1">
        <f t="array" ref="A3">INDEX(TEAMLIST!A:A, ROW())</f>
        <v>BOS</v>
      </c>
      <c r="B3" t="str" cm="1">
        <f t="array" ref="B3">INDEX(TEAMLIST!B:B, ROW())</f>
        <v>BOSS</v>
      </c>
      <c r="C3">
        <f>IFERROR(VLOOKUP($A3,'WEEK SUMMARY W1'!$A:$E,5,FALSE),0)</f>
        <v>0</v>
      </c>
      <c r="D3">
        <f>IFERROR(VLOOKUP($A3,'WEEK SUMMARY W2'!$A:$E,5,FALSE),0)</f>
        <v>0</v>
      </c>
      <c r="E3">
        <f>IFERROR(VLOOKUP($A3,'DAY SUMMARY FINAL'!$A:$G,7,FALSE),0)</f>
        <v>0</v>
      </c>
      <c r="F3">
        <f t="shared" ref="F3:F17" si="0">SUM(C3:E3)</f>
        <v>0</v>
      </c>
      <c r="G3">
        <f t="shared" ref="G3:G17" si="1">RANK(F3,$F$2:$F$17,0)</f>
        <v>4</v>
      </c>
      <c r="I3" t="str">
        <v>RD</v>
      </c>
      <c r="J3" t="str">
        <v>Raddom</v>
      </c>
      <c r="K3">
        <v>3</v>
      </c>
      <c r="L3">
        <v>0</v>
      </c>
      <c r="M3">
        <v>0</v>
      </c>
      <c r="N3">
        <v>3</v>
      </c>
      <c r="O3">
        <v>2</v>
      </c>
    </row>
    <row r="4" spans="1:15" x14ac:dyDescent="0.2">
      <c r="A4" t="str" cm="1">
        <f t="array" ref="A4">INDEX(TEAMLIST!A:A, ROW())</f>
        <v>NVD</v>
      </c>
      <c r="B4" t="str" cm="1">
        <f t="array" ref="B4">INDEX(TEAMLIST!B:B, ROW())</f>
        <v>NerverDIe</v>
      </c>
      <c r="C4">
        <f>IFERROR(VLOOKUP($A4,'WEEK SUMMARY W1'!$A:$E,5,FALSE),0)</f>
        <v>0</v>
      </c>
      <c r="D4">
        <f>IFERROR(VLOOKUP($A4,'WEEK SUMMARY W2'!$A:$E,5,FALSE),0)</f>
        <v>0</v>
      </c>
      <c r="E4">
        <f>IFERROR(VLOOKUP($A4,'DAY SUMMARY FINAL'!$A:$G,7,FALSE),0)</f>
        <v>0</v>
      </c>
      <c r="F4">
        <f t="shared" si="0"/>
        <v>0</v>
      </c>
      <c r="G4">
        <f t="shared" si="1"/>
        <v>4</v>
      </c>
      <c r="I4" t="str">
        <v>AWD</v>
      </c>
      <c r="J4" t="str">
        <v>Award</v>
      </c>
      <c r="K4">
        <v>1</v>
      </c>
      <c r="L4">
        <v>0</v>
      </c>
      <c r="M4">
        <v>0</v>
      </c>
      <c r="N4">
        <v>1</v>
      </c>
      <c r="O4">
        <v>3</v>
      </c>
    </row>
    <row r="5" spans="1:15" x14ac:dyDescent="0.2">
      <c r="A5" t="str" cm="1">
        <f t="array" ref="A5">INDEX(TEAMLIST!A:A, ROW())</f>
        <v>SBD</v>
      </c>
      <c r="B5" t="str" cm="1">
        <f t="array" ref="B5">INDEX(TEAMLIST!B:B, ROW())</f>
        <v>Skibidy</v>
      </c>
      <c r="C5">
        <f>IFERROR(VLOOKUP($A5,'WEEK SUMMARY W1'!$A:$E,5,FALSE),0)</f>
        <v>0</v>
      </c>
      <c r="D5">
        <f>IFERROR(VLOOKUP($A5,'WEEK SUMMARY W2'!$A:$E,5,FALSE),0)</f>
        <v>0</v>
      </c>
      <c r="E5">
        <f>IFERROR(VLOOKUP($A5,'DAY SUMMARY FINAL'!$A:$G,7,FALSE),0)</f>
        <v>0</v>
      </c>
      <c r="F5">
        <f t="shared" si="0"/>
        <v>0</v>
      </c>
      <c r="G5">
        <f t="shared" si="1"/>
        <v>4</v>
      </c>
      <c r="I5" t="str">
        <v>BOS</v>
      </c>
      <c r="J5" t="str">
        <v>BOSS</v>
      </c>
      <c r="K5">
        <v>0</v>
      </c>
      <c r="L5">
        <v>0</v>
      </c>
      <c r="M5">
        <v>0</v>
      </c>
      <c r="N5">
        <v>0</v>
      </c>
      <c r="O5">
        <v>4</v>
      </c>
    </row>
    <row r="6" spans="1:15" x14ac:dyDescent="0.2">
      <c r="A6" t="str" cm="1">
        <f t="array" ref="A6">INDEX(TEAMLIST!A:A, ROW())</f>
        <v>RD</v>
      </c>
      <c r="B6" t="str" cm="1">
        <f t="array" ref="B6">INDEX(TEAMLIST!B:B, ROW())</f>
        <v>Raddom</v>
      </c>
      <c r="C6">
        <f>IFERROR(VLOOKUP($A6,'WEEK SUMMARY W1'!$A:$E,5,FALSE),0)</f>
        <v>3</v>
      </c>
      <c r="D6">
        <f>IFERROR(VLOOKUP($A6,'WEEK SUMMARY W2'!$A:$E,5,FALSE),0)</f>
        <v>0</v>
      </c>
      <c r="E6">
        <f>IFERROR(VLOOKUP($A6,'DAY SUMMARY FINAL'!$A:$G,7,FALSE),0)</f>
        <v>0</v>
      </c>
      <c r="F6">
        <f t="shared" si="0"/>
        <v>3</v>
      </c>
      <c r="G6">
        <f t="shared" si="1"/>
        <v>2</v>
      </c>
      <c r="I6" t="str">
        <v>NVD</v>
      </c>
      <c r="J6" t="str">
        <v>NerverDIe</v>
      </c>
      <c r="K6">
        <v>0</v>
      </c>
      <c r="L6">
        <v>0</v>
      </c>
      <c r="M6">
        <v>0</v>
      </c>
      <c r="N6">
        <v>0</v>
      </c>
      <c r="O6">
        <v>4</v>
      </c>
    </row>
    <row r="7" spans="1:15" x14ac:dyDescent="0.2">
      <c r="A7" t="str" cm="1">
        <f t="array" ref="A7">INDEX(TEAMLIST!A:A, ROW())</f>
        <v>SSRS</v>
      </c>
      <c r="B7" t="str" cm="1">
        <f t="array" ref="B7">INDEX(TEAMLIST!B:B, ROW())</f>
        <v>SaSaRaSa</v>
      </c>
      <c r="C7">
        <f>IFERROR(VLOOKUP($A7,'WEEK SUMMARY W1'!$A:$E,5,FALSE),0)</f>
        <v>0</v>
      </c>
      <c r="D7">
        <f>IFERROR(VLOOKUP($A7,'WEEK SUMMARY W2'!$A:$E,5,FALSE),0)</f>
        <v>0</v>
      </c>
      <c r="E7">
        <f>IFERROR(VLOOKUP($A7,'DAY SUMMARY FINAL'!$A:$G,7,FALSE),0)</f>
        <v>0</v>
      </c>
      <c r="F7">
        <f t="shared" si="0"/>
        <v>0</v>
      </c>
      <c r="G7">
        <f t="shared" si="1"/>
        <v>4</v>
      </c>
      <c r="I7" t="str">
        <v>SBD</v>
      </c>
      <c r="J7" t="str">
        <v>Skibidy</v>
      </c>
      <c r="K7">
        <v>0</v>
      </c>
      <c r="L7">
        <v>0</v>
      </c>
      <c r="M7">
        <v>0</v>
      </c>
      <c r="N7">
        <v>0</v>
      </c>
      <c r="O7">
        <v>4</v>
      </c>
    </row>
    <row r="8" spans="1:15" x14ac:dyDescent="0.2">
      <c r="A8" t="str" cm="1">
        <f t="array" ref="A8">INDEX(TEAMLIST!A:A, ROW())</f>
        <v>OP</v>
      </c>
      <c r="B8" t="str" cm="1">
        <f t="array" ref="B8">INDEX(TEAMLIST!B:B, ROW())</f>
        <v>Onpara</v>
      </c>
      <c r="C8">
        <f>IFERROR(VLOOKUP($A8,'WEEK SUMMARY W1'!$A:$E,5,FALSE),0)</f>
        <v>0</v>
      </c>
      <c r="D8">
        <f>IFERROR(VLOOKUP($A8,'WEEK SUMMARY W2'!$A:$E,5,FALSE),0)</f>
        <v>0</v>
      </c>
      <c r="E8">
        <f>IFERROR(VLOOKUP($A8,'DAY SUMMARY FINAL'!$A:$G,7,FALSE),0)</f>
        <v>0</v>
      </c>
      <c r="F8">
        <f t="shared" si="0"/>
        <v>0</v>
      </c>
      <c r="G8">
        <f t="shared" si="1"/>
        <v>4</v>
      </c>
      <c r="I8" t="str">
        <v>SSRS</v>
      </c>
      <c r="J8" t="str">
        <v>SaSaRaSa</v>
      </c>
      <c r="K8">
        <v>0</v>
      </c>
      <c r="L8">
        <v>0</v>
      </c>
      <c r="M8">
        <v>0</v>
      </c>
      <c r="N8">
        <v>0</v>
      </c>
      <c r="O8">
        <v>4</v>
      </c>
    </row>
    <row r="9" spans="1:15" x14ac:dyDescent="0.2">
      <c r="A9" t="str" cm="1">
        <f t="array" ref="A9">INDEX(TEAMLIST!A:A, ROW())</f>
        <v>NX</v>
      </c>
      <c r="B9" t="str" cm="1">
        <f t="array" ref="B9">INDEX(TEAMLIST!B:B, ROW())</f>
        <v>NoXe</v>
      </c>
      <c r="C9">
        <f>IFERROR(VLOOKUP($A9,'WEEK SUMMARY W1'!$A:$E,5,FALSE),0)</f>
        <v>0</v>
      </c>
      <c r="D9">
        <f>IFERROR(VLOOKUP($A9,'WEEK SUMMARY W2'!$A:$E,5,FALSE),0)</f>
        <v>0</v>
      </c>
      <c r="E9">
        <f>IFERROR(VLOOKUP($A9,'DAY SUMMARY FINAL'!$A:$G,7,FALSE),0)</f>
        <v>0</v>
      </c>
      <c r="F9">
        <f t="shared" si="0"/>
        <v>0</v>
      </c>
      <c r="G9">
        <f t="shared" si="1"/>
        <v>4</v>
      </c>
      <c r="I9" t="str">
        <v>OP</v>
      </c>
      <c r="J9" t="str">
        <v>Onpara</v>
      </c>
      <c r="K9">
        <v>0</v>
      </c>
      <c r="L9">
        <v>0</v>
      </c>
      <c r="M9">
        <v>0</v>
      </c>
      <c r="N9">
        <v>0</v>
      </c>
      <c r="O9">
        <v>4</v>
      </c>
    </row>
    <row r="10" spans="1:15" x14ac:dyDescent="0.2">
      <c r="A10" t="str" cm="1">
        <f t="array" ref="A10">INDEX(TEAMLIST!A:A, ROW())</f>
        <v>SBZ</v>
      </c>
      <c r="B10" t="str" cm="1">
        <f t="array" ref="B10">INDEX(TEAMLIST!B:B, ROW())</f>
        <v>SEEBRAZ</v>
      </c>
      <c r="C10">
        <f>IFERROR(VLOOKUP($A10,'WEEK SUMMARY W1'!$A:$E,5,FALSE),0)</f>
        <v>0</v>
      </c>
      <c r="D10">
        <f>IFERROR(VLOOKUP($A10,'WEEK SUMMARY W2'!$A:$E,5,FALSE),0)</f>
        <v>0</v>
      </c>
      <c r="E10">
        <f>IFERROR(VLOOKUP($A10,'DAY SUMMARY FINAL'!$A:$G,7,FALSE),0)</f>
        <v>0</v>
      </c>
      <c r="F10">
        <f t="shared" si="0"/>
        <v>0</v>
      </c>
      <c r="G10">
        <f t="shared" si="1"/>
        <v>4</v>
      </c>
      <c r="I10" t="str">
        <v>NX</v>
      </c>
      <c r="J10" t="str">
        <v>NoXe</v>
      </c>
      <c r="K10">
        <v>0</v>
      </c>
      <c r="L10">
        <v>0</v>
      </c>
      <c r="M10">
        <v>0</v>
      </c>
      <c r="N10">
        <v>0</v>
      </c>
      <c r="O10">
        <v>4</v>
      </c>
    </row>
    <row r="11" spans="1:15" x14ac:dyDescent="0.2">
      <c r="A11" t="str" cm="1">
        <f t="array" ref="A11">INDEX(TEAMLIST!A:A, ROW())</f>
        <v>FF</v>
      </c>
      <c r="B11" t="str" cm="1">
        <f t="array" ref="B11">INDEX(TEAMLIST!B:B, ROW())</f>
        <v>ff</v>
      </c>
      <c r="C11">
        <f>IFERROR(VLOOKUP($A11,'WEEK SUMMARY W1'!$A:$E,5,FALSE),0)</f>
        <v>0</v>
      </c>
      <c r="D11">
        <f>IFERROR(VLOOKUP($A11,'WEEK SUMMARY W2'!$A:$E,5,FALSE),0)</f>
        <v>0</v>
      </c>
      <c r="E11">
        <f>IFERROR(VLOOKUP($A11,'DAY SUMMARY FINAL'!$A:$G,7,FALSE),0)</f>
        <v>0</v>
      </c>
      <c r="F11">
        <f t="shared" si="0"/>
        <v>0</v>
      </c>
      <c r="G11">
        <f t="shared" si="1"/>
        <v>4</v>
      </c>
      <c r="I11" t="str">
        <v>SBZ</v>
      </c>
      <c r="J11" t="str">
        <v>SEEBRAZ</v>
      </c>
      <c r="K11">
        <v>0</v>
      </c>
      <c r="L11">
        <v>0</v>
      </c>
      <c r="M11">
        <v>0</v>
      </c>
      <c r="N11">
        <v>0</v>
      </c>
      <c r="O11">
        <v>4</v>
      </c>
    </row>
    <row r="12" spans="1:15" x14ac:dyDescent="0.2">
      <c r="A12" t="str" cm="1">
        <f t="array" ref="A12">INDEX(TEAMLIST!A:A, ROW())</f>
        <v>SDF</v>
      </c>
      <c r="B12" t="str" cm="1">
        <f t="array" ref="B12">INDEX(TEAMLIST!B:B, ROW())</f>
        <v>sdfsdf</v>
      </c>
      <c r="C12">
        <f>IFERROR(VLOOKUP($A12,'WEEK SUMMARY W1'!$A:$E,5,FALSE),0)</f>
        <v>0</v>
      </c>
      <c r="D12">
        <f>IFERROR(VLOOKUP($A12,'WEEK SUMMARY W2'!$A:$E,5,FALSE),0)</f>
        <v>0</v>
      </c>
      <c r="E12">
        <f>IFERROR(VLOOKUP($A12,'DAY SUMMARY FINAL'!$A:$G,7,FALSE),0)</f>
        <v>0</v>
      </c>
      <c r="F12">
        <f t="shared" si="0"/>
        <v>0</v>
      </c>
      <c r="G12">
        <f t="shared" si="1"/>
        <v>4</v>
      </c>
      <c r="I12" t="str">
        <v>FF</v>
      </c>
      <c r="J12" t="str">
        <v>ff</v>
      </c>
      <c r="K12">
        <v>0</v>
      </c>
      <c r="L12">
        <v>0</v>
      </c>
      <c r="M12">
        <v>0</v>
      </c>
      <c r="N12">
        <v>0</v>
      </c>
      <c r="O12">
        <v>4</v>
      </c>
    </row>
    <row r="13" spans="1:15" x14ac:dyDescent="0.2">
      <c r="A13" t="str" cm="1">
        <f t="array" ref="A13">INDEX(TEAMLIST!A:A, ROW())</f>
        <v>HHH</v>
      </c>
      <c r="B13" t="str" cm="1">
        <f t="array" ref="B13">INDEX(TEAMLIST!B:B, ROW())</f>
        <v>HHHH</v>
      </c>
      <c r="C13">
        <f>IFERROR(VLOOKUP($A13,'WEEK SUMMARY W1'!$A:$E,5,FALSE),0)</f>
        <v>0</v>
      </c>
      <c r="D13">
        <f>IFERROR(VLOOKUP($A13,'WEEK SUMMARY W2'!$A:$E,5,FALSE),0)</f>
        <v>0</v>
      </c>
      <c r="E13">
        <f>IFERROR(VLOOKUP($A13,'DAY SUMMARY FINAL'!$A:$G,7,FALSE),0)</f>
        <v>0</v>
      </c>
      <c r="F13">
        <f t="shared" si="0"/>
        <v>0</v>
      </c>
      <c r="G13">
        <f t="shared" si="1"/>
        <v>4</v>
      </c>
      <c r="I13" t="str">
        <v>SDF</v>
      </c>
      <c r="J13" t="str">
        <v>sdfsdf</v>
      </c>
      <c r="K13">
        <v>0</v>
      </c>
      <c r="L13">
        <v>0</v>
      </c>
      <c r="M13">
        <v>0</v>
      </c>
      <c r="N13">
        <v>0</v>
      </c>
      <c r="O13">
        <v>4</v>
      </c>
    </row>
    <row r="14" spans="1:15" x14ac:dyDescent="0.2">
      <c r="A14" t="str" cm="1">
        <f t="array" ref="A14">INDEX(TEAMLIST!A:A, ROW())</f>
        <v>SSEE</v>
      </c>
      <c r="B14" t="str" cm="1">
        <f t="array" ref="B14">INDEX(TEAMLIST!B:B, ROW())</f>
        <v>SSEE</v>
      </c>
      <c r="C14">
        <f>IFERROR(VLOOKUP($A14,'WEEK SUMMARY W1'!$A:$E,5,FALSE),0)</f>
        <v>0</v>
      </c>
      <c r="D14">
        <f>IFERROR(VLOOKUP($A14,'WEEK SUMMARY W2'!$A:$E,5,FALSE),0)</f>
        <v>0</v>
      </c>
      <c r="E14">
        <f>IFERROR(VLOOKUP($A14,'DAY SUMMARY FINAL'!$A:$G,7,FALSE),0)</f>
        <v>0</v>
      </c>
      <c r="F14">
        <f t="shared" si="0"/>
        <v>0</v>
      </c>
      <c r="G14">
        <f t="shared" si="1"/>
        <v>4</v>
      </c>
      <c r="I14" t="str">
        <v>HHH</v>
      </c>
      <c r="J14" t="str">
        <v>HHHH</v>
      </c>
      <c r="K14">
        <v>0</v>
      </c>
      <c r="L14">
        <v>0</v>
      </c>
      <c r="M14">
        <v>0</v>
      </c>
      <c r="N14">
        <v>0</v>
      </c>
      <c r="O14">
        <v>4</v>
      </c>
    </row>
    <row r="15" spans="1:15" x14ac:dyDescent="0.2">
      <c r="A15" t="str" cm="1">
        <f t="array" ref="A15">INDEX(TEAMLIST!A:A, ROW())</f>
        <v>RR</v>
      </c>
      <c r="B15" t="str" cm="1">
        <f t="array" ref="B15">INDEX(TEAMLIST!B:B, ROW())</f>
        <v>rr</v>
      </c>
      <c r="C15">
        <f>IFERROR(VLOOKUP($A15,'WEEK SUMMARY W1'!$A:$E,5,FALSE),0)</f>
        <v>5</v>
      </c>
      <c r="D15">
        <f>IFERROR(VLOOKUP($A15,'WEEK SUMMARY W2'!$A:$E,5,FALSE),0)</f>
        <v>0</v>
      </c>
      <c r="E15">
        <f>IFERROR(VLOOKUP($A15,'DAY SUMMARY FINAL'!$A:$G,7,FALSE),0)</f>
        <v>0</v>
      </c>
      <c r="F15">
        <f t="shared" si="0"/>
        <v>5</v>
      </c>
      <c r="G15">
        <f t="shared" si="1"/>
        <v>1</v>
      </c>
      <c r="I15" t="str">
        <v>SSEE</v>
      </c>
      <c r="J15" t="str">
        <v>SSEE</v>
      </c>
      <c r="K15">
        <v>0</v>
      </c>
      <c r="L15">
        <v>0</v>
      </c>
      <c r="M15">
        <v>0</v>
      </c>
      <c r="N15">
        <v>0</v>
      </c>
      <c r="O15">
        <v>4</v>
      </c>
    </row>
    <row r="16" spans="1:15" x14ac:dyDescent="0.2">
      <c r="A16" t="str" cm="1">
        <f t="array" ref="A16">INDEX(TEAMLIST!A:A, ROW())</f>
        <v>www</v>
      </c>
      <c r="B16" t="str" cm="1">
        <f t="array" ref="B16">INDEX(TEAMLIST!B:B, ROW())</f>
        <v>wwww</v>
      </c>
      <c r="C16">
        <f>IFERROR(VLOOKUP($A16,'WEEK SUMMARY W1'!$A:$E,5,FALSE),0)</f>
        <v>0</v>
      </c>
      <c r="D16">
        <f>IFERROR(VLOOKUP($A16,'WEEK SUMMARY W2'!$A:$E,5,FALSE),0)</f>
        <v>0</v>
      </c>
      <c r="E16">
        <f>IFERROR(VLOOKUP($A16,'DAY SUMMARY FINAL'!$A:$G,7,FALSE),0)</f>
        <v>0</v>
      </c>
      <c r="F16">
        <f t="shared" si="0"/>
        <v>0</v>
      </c>
      <c r="G16">
        <f t="shared" si="1"/>
        <v>4</v>
      </c>
      <c r="I16" t="str">
        <v>www</v>
      </c>
      <c r="J16" t="str">
        <v>wwww</v>
      </c>
      <c r="K16">
        <v>0</v>
      </c>
      <c r="L16">
        <v>0</v>
      </c>
      <c r="M16">
        <v>0</v>
      </c>
      <c r="N16">
        <v>0</v>
      </c>
      <c r="O16">
        <v>4</v>
      </c>
    </row>
    <row r="17" spans="1:15" x14ac:dyDescent="0.2">
      <c r="A17" t="str" cm="1">
        <f t="array" ref="A17">INDEX(TEAMLIST!A:A, ROW())</f>
        <v>ASFA</v>
      </c>
      <c r="B17" t="str" cm="1">
        <f t="array" ref="B17">INDEX(TEAMLIST!B:B, ROW())</f>
        <v>asfasadsd</v>
      </c>
      <c r="C17">
        <f>IFERROR(VLOOKUP($A17,'WEEK SUMMARY W1'!$A:$E,5,FALSE),0)</f>
        <v>0</v>
      </c>
      <c r="D17">
        <f>IFERROR(VLOOKUP($A17,'WEEK SUMMARY W2'!$A:$E,5,FALSE),0)</f>
        <v>0</v>
      </c>
      <c r="E17">
        <f>IFERROR(VLOOKUP($A17,'DAY SUMMARY FINAL'!$A:$G,7,FALSE),0)</f>
        <v>0</v>
      </c>
      <c r="F17">
        <f t="shared" si="0"/>
        <v>0</v>
      </c>
      <c r="G17">
        <f t="shared" si="1"/>
        <v>4</v>
      </c>
      <c r="I17" t="str">
        <v>ASFA</v>
      </c>
      <c r="J17" t="str">
        <v>asfasadsd</v>
      </c>
      <c r="K17">
        <v>0</v>
      </c>
      <c r="L17">
        <v>0</v>
      </c>
      <c r="M17">
        <v>0</v>
      </c>
      <c r="N17">
        <v>0</v>
      </c>
      <c r="O17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448E-B5DB-4D85-A043-F1E387948972}">
  <sheetPr>
    <tabColor rgb="FF00B050"/>
  </sheetPr>
  <dimension ref="A1:F18"/>
  <sheetViews>
    <sheetView workbookViewId="0">
      <selection activeCell="G1" sqref="G1"/>
    </sheetView>
  </sheetViews>
  <sheetFormatPr defaultRowHeight="14.25" x14ac:dyDescent="0.2"/>
  <sheetData>
    <row r="1" spans="1:6" ht="28.5" x14ac:dyDescent="0.2">
      <c r="A1" s="2" t="s">
        <v>73</v>
      </c>
      <c r="B1" s="2" t="s">
        <v>74</v>
      </c>
      <c r="C1" s="3" t="s">
        <v>80</v>
      </c>
      <c r="D1" s="7" t="s">
        <v>81</v>
      </c>
      <c r="E1" s="5" t="s">
        <v>82</v>
      </c>
      <c r="F1" s="3" t="s">
        <v>83</v>
      </c>
    </row>
    <row r="2" spans="1:6" x14ac:dyDescent="0.2">
      <c r="A2" t="str" cm="1">
        <f t="array" ref="A2">IFERROR(INDEX('input player'!B:B, ROW()), "")</f>
        <v>AWD</v>
      </c>
      <c r="B2" t="str" cm="1">
        <f t="array" ref="B2">IFERROR(INDEX('input player'!A:A, ROW()), "")</f>
        <v>Award</v>
      </c>
      <c r="C2" s="4">
        <v>0</v>
      </c>
      <c r="D2" s="8">
        <v>1</v>
      </c>
      <c r="E2" s="6">
        <f>IF(C2=0,0,
IF(C2=1,10,
IF(C2=2,6,
IF(C2=3,5,
IF(C2=4,4,
IF(C2=5,3,
IF(C2=6,2,
IF(OR(C2=7,C2=8),1,0))))))))</f>
        <v>0</v>
      </c>
      <c r="F2" s="4">
        <f xml:space="preserve"> D2 + E2</f>
        <v>1</v>
      </c>
    </row>
    <row r="3" spans="1:6" x14ac:dyDescent="0.2">
      <c r="A3" t="str" cm="1">
        <f t="array" ref="A3">IFERROR(INDEX('input player'!B:B, ROW()), "")</f>
        <v>BOS</v>
      </c>
      <c r="B3" t="str" cm="1">
        <f t="array" ref="B3">IFERROR(INDEX('input player'!A:A, ROW()), "")</f>
        <v>BOSS</v>
      </c>
      <c r="C3" s="4">
        <v>0</v>
      </c>
      <c r="D3" s="8">
        <v>0</v>
      </c>
      <c r="E3" s="6">
        <f t="shared" ref="E3:E17" si="0">IF(C3=0,0,
IF(C3=1,10,
IF(C3=2,6,
IF(C3=3,5,
IF(C3=4,4,
IF(C3=5,3,
IF(C3=6,2,
IF(OR(C3=7,C3=8),1,0))))))))</f>
        <v>0</v>
      </c>
      <c r="F3" s="4">
        <f t="shared" ref="F3:F17" si="1" xml:space="preserve"> D3 + E3</f>
        <v>0</v>
      </c>
    </row>
    <row r="4" spans="1:6" x14ac:dyDescent="0.2">
      <c r="A4" t="str" cm="1">
        <f t="array" ref="A4">IFERROR(INDEX('input player'!B:B, ROW()), "")</f>
        <v>NVD</v>
      </c>
      <c r="B4" t="str" cm="1">
        <f t="array" ref="B4">IFERROR(INDEX('input player'!A:A, ROW()), "")</f>
        <v>NerverDIe</v>
      </c>
      <c r="C4" s="4">
        <v>0</v>
      </c>
      <c r="D4" s="8">
        <v>0</v>
      </c>
      <c r="E4" s="6">
        <f t="shared" si="0"/>
        <v>0</v>
      </c>
      <c r="F4" s="4">
        <f t="shared" si="1"/>
        <v>0</v>
      </c>
    </row>
    <row r="5" spans="1:6" x14ac:dyDescent="0.2">
      <c r="A5" t="str" cm="1">
        <f t="array" ref="A5">IFERROR(INDEX('input player'!B:B, ROW()), "")</f>
        <v>SBD</v>
      </c>
      <c r="B5" t="str" cm="1">
        <f t="array" ref="B5">IFERROR(INDEX('input player'!A:A, ROW()), "")</f>
        <v>Skibidy</v>
      </c>
      <c r="C5" s="4">
        <v>0</v>
      </c>
      <c r="D5" s="8">
        <v>0</v>
      </c>
      <c r="E5" s="6">
        <f t="shared" si="0"/>
        <v>0</v>
      </c>
      <c r="F5" s="4">
        <f t="shared" si="1"/>
        <v>0</v>
      </c>
    </row>
    <row r="6" spans="1:6" x14ac:dyDescent="0.2">
      <c r="A6" t="str" cm="1">
        <f t="array" ref="A6">IFERROR(INDEX('input player'!B:B, ROW()), "")</f>
        <v>RD</v>
      </c>
      <c r="B6" t="str" cm="1">
        <f t="array" ref="B6">IFERROR(INDEX('input player'!A:A, ROW()), "")</f>
        <v>Raddom</v>
      </c>
      <c r="C6" s="4">
        <v>0</v>
      </c>
      <c r="D6" s="8">
        <v>3</v>
      </c>
      <c r="E6" s="6">
        <f t="shared" si="0"/>
        <v>0</v>
      </c>
      <c r="F6" s="4">
        <f t="shared" si="1"/>
        <v>3</v>
      </c>
    </row>
    <row r="7" spans="1:6" x14ac:dyDescent="0.2">
      <c r="A7" t="str" cm="1">
        <f t="array" ref="A7">IFERROR(INDEX('input player'!B:B, ROW()), "")</f>
        <v>SSRS</v>
      </c>
      <c r="B7" t="str" cm="1">
        <f t="array" ref="B7">IFERROR(INDEX('input player'!A:A, ROW()), "")</f>
        <v>SaSaRaSa</v>
      </c>
      <c r="C7" s="4">
        <v>0</v>
      </c>
      <c r="D7" s="8">
        <v>0</v>
      </c>
      <c r="E7" s="6">
        <f t="shared" si="0"/>
        <v>0</v>
      </c>
      <c r="F7" s="4">
        <f t="shared" si="1"/>
        <v>0</v>
      </c>
    </row>
    <row r="8" spans="1:6" x14ac:dyDescent="0.2">
      <c r="A8" t="str" cm="1">
        <f t="array" ref="A8">IFERROR(INDEX('input player'!B:B, ROW()), "")</f>
        <v>OP</v>
      </c>
      <c r="B8" t="str" cm="1">
        <f t="array" ref="B8">IFERROR(INDEX('input player'!A:A, ROW()), "")</f>
        <v>Onpara</v>
      </c>
      <c r="C8" s="4">
        <v>0</v>
      </c>
      <c r="D8" s="8">
        <v>0</v>
      </c>
      <c r="E8" s="6">
        <f t="shared" si="0"/>
        <v>0</v>
      </c>
      <c r="F8" s="4">
        <f t="shared" si="1"/>
        <v>0</v>
      </c>
    </row>
    <row r="9" spans="1:6" x14ac:dyDescent="0.2">
      <c r="A9" t="str" cm="1">
        <f t="array" ref="A9">IFERROR(INDEX('input player'!B:B, ROW()), "")</f>
        <v>NX</v>
      </c>
      <c r="B9" t="str" cm="1">
        <f t="array" ref="B9">IFERROR(INDEX('input player'!A:A, ROW()), "")</f>
        <v>NoXe</v>
      </c>
      <c r="C9" s="4">
        <v>0</v>
      </c>
      <c r="D9" s="8">
        <v>0</v>
      </c>
      <c r="E9" s="6">
        <f t="shared" si="0"/>
        <v>0</v>
      </c>
      <c r="F9" s="4">
        <f t="shared" si="1"/>
        <v>0</v>
      </c>
    </row>
    <row r="10" spans="1:6" x14ac:dyDescent="0.2">
      <c r="A10" t="str" cm="1">
        <f t="array" ref="A10">IFERROR(INDEX('input player'!B:B, ROW()), "")</f>
        <v>SBZ</v>
      </c>
      <c r="B10" t="str" cm="1">
        <f t="array" ref="B10">IFERROR(INDEX('input player'!A:A, ROW()), "")</f>
        <v>SEEBRAZ</v>
      </c>
      <c r="C10" s="4">
        <v>0</v>
      </c>
      <c r="D10" s="8">
        <v>0</v>
      </c>
      <c r="E10" s="6">
        <f t="shared" si="0"/>
        <v>0</v>
      </c>
      <c r="F10" s="4">
        <f t="shared" si="1"/>
        <v>0</v>
      </c>
    </row>
    <row r="11" spans="1:6" x14ac:dyDescent="0.2">
      <c r="A11" t="str" cm="1">
        <f t="array" ref="A11">IFERROR(INDEX('input player'!B:B, ROW()), "")</f>
        <v>FF</v>
      </c>
      <c r="B11" t="str" cm="1">
        <f t="array" ref="B11">IFERROR(INDEX('input player'!A:A, ROW()), "")</f>
        <v>ff</v>
      </c>
      <c r="C11" s="4">
        <v>0</v>
      </c>
      <c r="D11" s="8">
        <v>0</v>
      </c>
      <c r="E11" s="6">
        <f t="shared" si="0"/>
        <v>0</v>
      </c>
      <c r="F11" s="4">
        <f t="shared" si="1"/>
        <v>0</v>
      </c>
    </row>
    <row r="12" spans="1:6" x14ac:dyDescent="0.2">
      <c r="A12" t="str" cm="1">
        <f t="array" ref="A12">IFERROR(INDEX('input player'!B:B, ROW()), "")</f>
        <v>SDF</v>
      </c>
      <c r="B12" t="str" cm="1">
        <f t="array" ref="B12">IFERROR(INDEX('input player'!A:A, ROW()), "")</f>
        <v>sdfsdf</v>
      </c>
      <c r="C12" s="4">
        <v>0</v>
      </c>
      <c r="D12" s="8">
        <v>0</v>
      </c>
      <c r="E12" s="6">
        <f t="shared" si="0"/>
        <v>0</v>
      </c>
      <c r="F12" s="4">
        <f t="shared" si="1"/>
        <v>0</v>
      </c>
    </row>
    <row r="13" spans="1:6" x14ac:dyDescent="0.2">
      <c r="A13" t="str" cm="1">
        <f t="array" ref="A13">IFERROR(INDEX('input player'!B:B, ROW()), "")</f>
        <v>HHH</v>
      </c>
      <c r="B13" t="str" cm="1">
        <f t="array" ref="B13">IFERROR(INDEX('input player'!A:A, ROW()), "")</f>
        <v>HHHH</v>
      </c>
      <c r="C13" s="4">
        <v>0</v>
      </c>
      <c r="D13" s="8">
        <v>0</v>
      </c>
      <c r="E13" s="6">
        <f t="shared" si="0"/>
        <v>0</v>
      </c>
      <c r="F13" s="4">
        <f t="shared" si="1"/>
        <v>0</v>
      </c>
    </row>
    <row r="14" spans="1:6" x14ac:dyDescent="0.2">
      <c r="A14" t="str" cm="1">
        <f t="array" ref="A14">IFERROR(INDEX('input player'!B:B, ROW()), "")</f>
        <v>SSEE</v>
      </c>
      <c r="B14" t="str" cm="1">
        <f t="array" ref="B14">IFERROR(INDEX('input player'!A:A, ROW()), "")</f>
        <v>SSEE</v>
      </c>
      <c r="C14" s="4">
        <v>0</v>
      </c>
      <c r="D14" s="8">
        <v>0</v>
      </c>
      <c r="E14" s="6">
        <f t="shared" si="0"/>
        <v>0</v>
      </c>
      <c r="F14" s="4">
        <f t="shared" si="1"/>
        <v>0</v>
      </c>
    </row>
    <row r="15" spans="1:6" x14ac:dyDescent="0.2">
      <c r="A15" t="str" cm="1">
        <f t="array" ref="A15">IFERROR(INDEX('input player'!B:B, ROW()), "")</f>
        <v>RR</v>
      </c>
      <c r="B15" t="str" cm="1">
        <f t="array" ref="B15">IFERROR(INDEX('input player'!A:A, ROW()), "")</f>
        <v>rr</v>
      </c>
      <c r="C15" s="4">
        <v>0</v>
      </c>
      <c r="D15" s="8">
        <v>5</v>
      </c>
      <c r="E15" s="6">
        <f t="shared" si="0"/>
        <v>0</v>
      </c>
      <c r="F15" s="4">
        <f t="shared" si="1"/>
        <v>5</v>
      </c>
    </row>
    <row r="16" spans="1:6" x14ac:dyDescent="0.2">
      <c r="A16" t="str" cm="1">
        <f t="array" ref="A16">IFERROR(INDEX('input player'!B:B, ROW()), "")</f>
        <v>www</v>
      </c>
      <c r="B16" t="str" cm="1">
        <f t="array" ref="B16">IFERROR(INDEX('input player'!A:A, ROW()), "")</f>
        <v>wwww</v>
      </c>
      <c r="C16" s="4">
        <v>0</v>
      </c>
      <c r="D16" s="8">
        <v>0</v>
      </c>
      <c r="E16" s="6">
        <f t="shared" si="0"/>
        <v>0</v>
      </c>
      <c r="F16" s="4">
        <f t="shared" si="1"/>
        <v>0</v>
      </c>
    </row>
    <row r="17" spans="1:6" x14ac:dyDescent="0.2">
      <c r="A17" t="str" cm="1">
        <f t="array" ref="A17">IFERROR(INDEX('input player'!B:B, ROW()), "")</f>
        <v>ASFA</v>
      </c>
      <c r="B17" t="str" cm="1">
        <f t="array" ref="B17">IFERROR(INDEX('input player'!A:A, ROW()), "")</f>
        <v>asfasadsd</v>
      </c>
      <c r="C17" s="4">
        <v>0</v>
      </c>
      <c r="D17" s="8">
        <v>0</v>
      </c>
      <c r="E17" s="6">
        <f t="shared" si="0"/>
        <v>0</v>
      </c>
      <c r="F17" s="4">
        <f t="shared" si="1"/>
        <v>0</v>
      </c>
    </row>
    <row r="18" spans="1:6" x14ac:dyDescent="0.2">
      <c r="C18" s="4"/>
      <c r="D18" s="8"/>
      <c r="E18" s="6"/>
      <c r="F18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C9539-86C6-4463-8B0C-61676AD09023}">
  <sheetPr>
    <tabColor rgb="FF00B050"/>
  </sheetPr>
  <dimension ref="A1:F17"/>
  <sheetViews>
    <sheetView workbookViewId="0">
      <selection activeCell="E2" sqref="E2:E17"/>
    </sheetView>
  </sheetViews>
  <sheetFormatPr defaultRowHeight="14.25" x14ac:dyDescent="0.2"/>
  <sheetData>
    <row r="1" spans="1:6" ht="28.5" x14ac:dyDescent="0.2">
      <c r="A1" s="2" t="s">
        <v>73</v>
      </c>
      <c r="B1" s="2" t="s">
        <v>74</v>
      </c>
      <c r="C1" s="3" t="s">
        <v>80</v>
      </c>
      <c r="D1" s="7" t="s">
        <v>81</v>
      </c>
      <c r="E1" s="5" t="s">
        <v>82</v>
      </c>
      <c r="F1" s="3" t="s">
        <v>83</v>
      </c>
    </row>
    <row r="2" spans="1:6" x14ac:dyDescent="0.2">
      <c r="A2" t="str" cm="1">
        <f t="array" ref="A2">IFERROR(INDEX('input player'!B:B, ROW()), "")</f>
        <v>AWD</v>
      </c>
      <c r="B2" t="str" cm="1">
        <f t="array" ref="B2">IFERROR(INDEX('input player'!A:A, ROW()), "")</f>
        <v>Award</v>
      </c>
      <c r="C2" s="4">
        <v>0</v>
      </c>
      <c r="D2" s="8">
        <v>0</v>
      </c>
      <c r="E2" s="6">
        <f>IF(C2=0,0,
IF(C2=1,10,
IF(C2=2,6,
IF(C2=3,5,
IF(C2=4,4,
IF(C2=5,3,
IF(C2=6,2,
IF(OR(C2=7,C2=8),1,0))))))))</f>
        <v>0</v>
      </c>
      <c r="F2" s="4">
        <f xml:space="preserve"> D2 + E2</f>
        <v>0</v>
      </c>
    </row>
    <row r="3" spans="1:6" x14ac:dyDescent="0.2">
      <c r="A3" t="str" cm="1">
        <f t="array" ref="A3">IFERROR(INDEX('input player'!B:B, ROW()), "")</f>
        <v>BOS</v>
      </c>
      <c r="B3" t="str" cm="1">
        <f t="array" ref="B3">IFERROR(INDEX('input player'!A:A, ROW()), "")</f>
        <v>BOSS</v>
      </c>
      <c r="C3" s="4">
        <v>0</v>
      </c>
      <c r="D3" s="8">
        <v>0</v>
      </c>
      <c r="E3" s="6">
        <f t="shared" ref="E3:E17" si="0">IF(C3=0,0,
IF(C3=1,10,
IF(C3=2,6,
IF(C3=3,5,
IF(C3=4,4,
IF(C3=5,3,
IF(C3=6,2,
IF(OR(C3=7,C3=8),1,0))))))))</f>
        <v>0</v>
      </c>
      <c r="F3" s="4">
        <f t="shared" ref="F3:F17" si="1" xml:space="preserve"> D3 + E3</f>
        <v>0</v>
      </c>
    </row>
    <row r="4" spans="1:6" x14ac:dyDescent="0.2">
      <c r="A4" t="str" cm="1">
        <f t="array" ref="A4">IFERROR(INDEX('input player'!B:B, ROW()), "")</f>
        <v>NVD</v>
      </c>
      <c r="B4" t="str" cm="1">
        <f t="array" ref="B4">IFERROR(INDEX('input player'!A:A, ROW()), "")</f>
        <v>NerverDIe</v>
      </c>
      <c r="C4" s="4">
        <v>0</v>
      </c>
      <c r="D4" s="8">
        <v>0</v>
      </c>
      <c r="E4" s="6">
        <f t="shared" si="0"/>
        <v>0</v>
      </c>
      <c r="F4" s="4">
        <f t="shared" si="1"/>
        <v>0</v>
      </c>
    </row>
    <row r="5" spans="1:6" x14ac:dyDescent="0.2">
      <c r="A5" t="str" cm="1">
        <f t="array" ref="A5">IFERROR(INDEX('input player'!B:B, ROW()), "")</f>
        <v>SBD</v>
      </c>
      <c r="B5" t="str" cm="1">
        <f t="array" ref="B5">IFERROR(INDEX('input player'!A:A, ROW()), "")</f>
        <v>Skibidy</v>
      </c>
      <c r="C5" s="4">
        <v>0</v>
      </c>
      <c r="D5" s="8">
        <v>0</v>
      </c>
      <c r="E5" s="6">
        <f t="shared" si="0"/>
        <v>0</v>
      </c>
      <c r="F5" s="4">
        <f t="shared" si="1"/>
        <v>0</v>
      </c>
    </row>
    <row r="6" spans="1:6" x14ac:dyDescent="0.2">
      <c r="A6" t="str" cm="1">
        <f t="array" ref="A6">IFERROR(INDEX('input player'!B:B, ROW()), "")</f>
        <v>RD</v>
      </c>
      <c r="B6" t="str" cm="1">
        <f t="array" ref="B6">IFERROR(INDEX('input player'!A:A, ROW()), "")</f>
        <v>Raddom</v>
      </c>
      <c r="C6" s="4">
        <v>0</v>
      </c>
      <c r="D6" s="8">
        <v>0</v>
      </c>
      <c r="E6" s="6">
        <f t="shared" si="0"/>
        <v>0</v>
      </c>
      <c r="F6" s="4">
        <f t="shared" si="1"/>
        <v>0</v>
      </c>
    </row>
    <row r="7" spans="1:6" x14ac:dyDescent="0.2">
      <c r="A7" t="str" cm="1">
        <f t="array" ref="A7">IFERROR(INDEX('input player'!B:B, ROW()), "")</f>
        <v>SSRS</v>
      </c>
      <c r="B7" t="str" cm="1">
        <f t="array" ref="B7">IFERROR(INDEX('input player'!A:A, ROW()), "")</f>
        <v>SaSaRaSa</v>
      </c>
      <c r="C7" s="4">
        <v>0</v>
      </c>
      <c r="D7" s="8">
        <v>0</v>
      </c>
      <c r="E7" s="6">
        <f t="shared" si="0"/>
        <v>0</v>
      </c>
      <c r="F7" s="4">
        <f t="shared" si="1"/>
        <v>0</v>
      </c>
    </row>
    <row r="8" spans="1:6" x14ac:dyDescent="0.2">
      <c r="A8" t="str" cm="1">
        <f t="array" ref="A8">IFERROR(INDEX('input player'!B:B, ROW()), "")</f>
        <v>OP</v>
      </c>
      <c r="B8" t="str" cm="1">
        <f t="array" ref="B8">IFERROR(INDEX('input player'!A:A, ROW()), "")</f>
        <v>Onpara</v>
      </c>
      <c r="C8" s="4">
        <v>0</v>
      </c>
      <c r="D8" s="8">
        <v>0</v>
      </c>
      <c r="E8" s="6">
        <f t="shared" si="0"/>
        <v>0</v>
      </c>
      <c r="F8" s="4">
        <f t="shared" si="1"/>
        <v>0</v>
      </c>
    </row>
    <row r="9" spans="1:6" x14ac:dyDescent="0.2">
      <c r="A9" t="str" cm="1">
        <f t="array" ref="A9">IFERROR(INDEX('input player'!B:B, ROW()), "")</f>
        <v>NX</v>
      </c>
      <c r="B9" t="str" cm="1">
        <f t="array" ref="B9">IFERROR(INDEX('input player'!A:A, ROW()), "")</f>
        <v>NoXe</v>
      </c>
      <c r="C9" s="4">
        <v>0</v>
      </c>
      <c r="D9" s="8">
        <v>0</v>
      </c>
      <c r="E9" s="6">
        <f t="shared" si="0"/>
        <v>0</v>
      </c>
      <c r="F9" s="4">
        <f t="shared" si="1"/>
        <v>0</v>
      </c>
    </row>
    <row r="10" spans="1:6" x14ac:dyDescent="0.2">
      <c r="A10" t="str" cm="1">
        <f t="array" ref="A10">IFERROR(INDEX('input player'!B:B, ROW()), "")</f>
        <v>SBZ</v>
      </c>
      <c r="B10" t="str" cm="1">
        <f t="array" ref="B10">IFERROR(INDEX('input player'!A:A, ROW()), "")</f>
        <v>SEEBRAZ</v>
      </c>
      <c r="C10" s="4">
        <v>0</v>
      </c>
      <c r="D10" s="8">
        <v>0</v>
      </c>
      <c r="E10" s="6">
        <f t="shared" si="0"/>
        <v>0</v>
      </c>
      <c r="F10" s="4">
        <f t="shared" si="1"/>
        <v>0</v>
      </c>
    </row>
    <row r="11" spans="1:6" x14ac:dyDescent="0.2">
      <c r="A11" t="str" cm="1">
        <f t="array" ref="A11">IFERROR(INDEX('input player'!B:B, ROW()), "")</f>
        <v>FF</v>
      </c>
      <c r="B11" t="str" cm="1">
        <f t="array" ref="B11">IFERROR(INDEX('input player'!A:A, ROW()), "")</f>
        <v>ff</v>
      </c>
      <c r="C11" s="4">
        <v>0</v>
      </c>
      <c r="D11" s="8">
        <v>0</v>
      </c>
      <c r="E11" s="6">
        <f t="shared" si="0"/>
        <v>0</v>
      </c>
      <c r="F11" s="4">
        <f t="shared" si="1"/>
        <v>0</v>
      </c>
    </row>
    <row r="12" spans="1:6" x14ac:dyDescent="0.2">
      <c r="A12" t="str" cm="1">
        <f t="array" ref="A12">IFERROR(INDEX('input player'!B:B, ROW()), "")</f>
        <v>SDF</v>
      </c>
      <c r="B12" t="str" cm="1">
        <f t="array" ref="B12">IFERROR(INDEX('input player'!A:A, ROW()), "")</f>
        <v>sdfsdf</v>
      </c>
      <c r="C12" s="4">
        <v>0</v>
      </c>
      <c r="D12" s="8">
        <v>0</v>
      </c>
      <c r="E12" s="6">
        <f t="shared" si="0"/>
        <v>0</v>
      </c>
      <c r="F12" s="4">
        <f t="shared" si="1"/>
        <v>0</v>
      </c>
    </row>
    <row r="13" spans="1:6" x14ac:dyDescent="0.2">
      <c r="A13" t="str" cm="1">
        <f t="array" ref="A13">IFERROR(INDEX('input player'!B:B, ROW()), "")</f>
        <v>HHH</v>
      </c>
      <c r="B13" t="str" cm="1">
        <f t="array" ref="B13">IFERROR(INDEX('input player'!A:A, ROW()), "")</f>
        <v>HHHH</v>
      </c>
      <c r="C13" s="4">
        <v>0</v>
      </c>
      <c r="D13" s="8">
        <v>0</v>
      </c>
      <c r="E13" s="6">
        <f t="shared" si="0"/>
        <v>0</v>
      </c>
      <c r="F13" s="4">
        <f t="shared" si="1"/>
        <v>0</v>
      </c>
    </row>
    <row r="14" spans="1:6" x14ac:dyDescent="0.2">
      <c r="A14" t="str" cm="1">
        <f t="array" ref="A14">IFERROR(INDEX('input player'!B:B, ROW()), "")</f>
        <v>SSEE</v>
      </c>
      <c r="B14" t="str" cm="1">
        <f t="array" ref="B14">IFERROR(INDEX('input player'!A:A, ROW()), "")</f>
        <v>SSEE</v>
      </c>
      <c r="C14" s="4">
        <v>0</v>
      </c>
      <c r="D14" s="8">
        <v>0</v>
      </c>
      <c r="E14" s="6">
        <f t="shared" si="0"/>
        <v>0</v>
      </c>
      <c r="F14" s="4">
        <f t="shared" si="1"/>
        <v>0</v>
      </c>
    </row>
    <row r="15" spans="1:6" x14ac:dyDescent="0.2">
      <c r="A15" t="str" cm="1">
        <f t="array" ref="A15">IFERROR(INDEX('input player'!B:B, ROW()), "")</f>
        <v>RR</v>
      </c>
      <c r="B15" t="str" cm="1">
        <f t="array" ref="B15">IFERROR(INDEX('input player'!A:A, ROW()), "")</f>
        <v>rr</v>
      </c>
      <c r="C15" s="4">
        <v>0</v>
      </c>
      <c r="D15" s="8">
        <v>0</v>
      </c>
      <c r="E15" s="6">
        <f t="shared" si="0"/>
        <v>0</v>
      </c>
      <c r="F15" s="4">
        <f t="shared" si="1"/>
        <v>0</v>
      </c>
    </row>
    <row r="16" spans="1:6" x14ac:dyDescent="0.2">
      <c r="A16" t="str" cm="1">
        <f t="array" ref="A16">IFERROR(INDEX('input player'!B:B, ROW()), "")</f>
        <v>www</v>
      </c>
      <c r="B16" t="str" cm="1">
        <f t="array" ref="B16">IFERROR(INDEX('input player'!A:A, ROW()), "")</f>
        <v>wwww</v>
      </c>
      <c r="C16" s="4">
        <v>0</v>
      </c>
      <c r="D16" s="8">
        <v>0</v>
      </c>
      <c r="E16" s="6">
        <f t="shared" si="0"/>
        <v>0</v>
      </c>
      <c r="F16" s="4">
        <f t="shared" si="1"/>
        <v>0</v>
      </c>
    </row>
    <row r="17" spans="1:6" x14ac:dyDescent="0.2">
      <c r="A17" t="str" cm="1">
        <f t="array" ref="A17">IFERROR(INDEX('input player'!B:B, ROW()), "")</f>
        <v>ASFA</v>
      </c>
      <c r="B17" t="str" cm="1">
        <f t="array" ref="B17">IFERROR(INDEX('input player'!A:A, ROW()), "")</f>
        <v>asfasadsd</v>
      </c>
      <c r="C17" s="4">
        <v>0</v>
      </c>
      <c r="D17" s="8">
        <v>0</v>
      </c>
      <c r="E17" s="6">
        <f t="shared" si="0"/>
        <v>0</v>
      </c>
      <c r="F17" s="4">
        <f t="shared" si="1"/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3B39-D107-4B1C-B81C-242D12E32DB9}">
  <sheetPr>
    <tabColor rgb="FF00B050"/>
  </sheetPr>
  <dimension ref="A1:F17"/>
  <sheetViews>
    <sheetView workbookViewId="0">
      <selection activeCell="E2" sqref="E2:E17"/>
    </sheetView>
  </sheetViews>
  <sheetFormatPr defaultRowHeight="14.25" x14ac:dyDescent="0.2"/>
  <sheetData>
    <row r="1" spans="1:6" ht="28.5" x14ac:dyDescent="0.2">
      <c r="A1" s="2" t="s">
        <v>73</v>
      </c>
      <c r="B1" s="2" t="s">
        <v>74</v>
      </c>
      <c r="C1" s="3" t="s">
        <v>80</v>
      </c>
      <c r="D1" s="7" t="s">
        <v>81</v>
      </c>
      <c r="E1" s="5" t="s">
        <v>82</v>
      </c>
      <c r="F1" s="3" t="s">
        <v>83</v>
      </c>
    </row>
    <row r="2" spans="1:6" x14ac:dyDescent="0.2">
      <c r="A2" t="str" cm="1">
        <f t="array" ref="A2">IFERROR(INDEX('input player'!B:B, ROW()), "")</f>
        <v>AWD</v>
      </c>
      <c r="B2" t="str" cm="1">
        <f t="array" ref="B2">IFERROR(INDEX('input player'!A:A, ROW()), "")</f>
        <v>Award</v>
      </c>
      <c r="C2" s="4">
        <v>0</v>
      </c>
      <c r="D2" s="8">
        <v>0</v>
      </c>
      <c r="E2" s="6">
        <f>IF(C2=0,0,
IF(C2=1,10,
IF(C2=2,6,
IF(C2=3,5,
IF(C2=4,4,
IF(C2=5,3,
IF(C2=6,2,
IF(OR(C2=7,C2=8),1,0))))))))</f>
        <v>0</v>
      </c>
      <c r="F2" s="4">
        <f xml:space="preserve"> D2 + E2</f>
        <v>0</v>
      </c>
    </row>
    <row r="3" spans="1:6" x14ac:dyDescent="0.2">
      <c r="A3" t="str" cm="1">
        <f t="array" ref="A3">IFERROR(INDEX('input player'!B:B, ROW()), "")</f>
        <v>BOS</v>
      </c>
      <c r="B3" t="str" cm="1">
        <f t="array" ref="B3">IFERROR(INDEX('input player'!A:A, ROW()), "")</f>
        <v>BOSS</v>
      </c>
      <c r="C3" s="4">
        <v>0</v>
      </c>
      <c r="D3" s="8">
        <v>0</v>
      </c>
      <c r="E3" s="6">
        <f t="shared" ref="E3:E17" si="0">IF(C3=0,0,
IF(C3=1,10,
IF(C3=2,6,
IF(C3=3,5,
IF(C3=4,4,
IF(C3=5,3,
IF(C3=6,2,
IF(OR(C3=7,C3=8),1,0))))))))</f>
        <v>0</v>
      </c>
      <c r="F3" s="4">
        <f t="shared" ref="F3:F17" si="1" xml:space="preserve"> D3 + E3</f>
        <v>0</v>
      </c>
    </row>
    <row r="4" spans="1:6" x14ac:dyDescent="0.2">
      <c r="A4" t="str" cm="1">
        <f t="array" ref="A4">IFERROR(INDEX('input player'!B:B, ROW()), "")</f>
        <v>NVD</v>
      </c>
      <c r="B4" t="str" cm="1">
        <f t="array" ref="B4">IFERROR(INDEX('input player'!A:A, ROW()), "")</f>
        <v>NerverDIe</v>
      </c>
      <c r="C4" s="4">
        <v>0</v>
      </c>
      <c r="D4" s="8">
        <v>0</v>
      </c>
      <c r="E4" s="6">
        <f t="shared" si="0"/>
        <v>0</v>
      </c>
      <c r="F4" s="4">
        <f t="shared" si="1"/>
        <v>0</v>
      </c>
    </row>
    <row r="5" spans="1:6" x14ac:dyDescent="0.2">
      <c r="A5" t="str" cm="1">
        <f t="array" ref="A5">IFERROR(INDEX('input player'!B:B, ROW()), "")</f>
        <v>SBD</v>
      </c>
      <c r="B5" t="str" cm="1">
        <f t="array" ref="B5">IFERROR(INDEX('input player'!A:A, ROW()), "")</f>
        <v>Skibidy</v>
      </c>
      <c r="C5" s="4">
        <v>0</v>
      </c>
      <c r="D5" s="8">
        <v>0</v>
      </c>
      <c r="E5" s="6">
        <f t="shared" si="0"/>
        <v>0</v>
      </c>
      <c r="F5" s="4">
        <f t="shared" si="1"/>
        <v>0</v>
      </c>
    </row>
    <row r="6" spans="1:6" x14ac:dyDescent="0.2">
      <c r="A6" t="str" cm="1">
        <f t="array" ref="A6">IFERROR(INDEX('input player'!B:B, ROW()), "")</f>
        <v>RD</v>
      </c>
      <c r="B6" t="str" cm="1">
        <f t="array" ref="B6">IFERROR(INDEX('input player'!A:A, ROW()), "")</f>
        <v>Raddom</v>
      </c>
      <c r="C6" s="4">
        <v>0</v>
      </c>
      <c r="D6" s="8">
        <v>0</v>
      </c>
      <c r="E6" s="6">
        <f t="shared" si="0"/>
        <v>0</v>
      </c>
      <c r="F6" s="4">
        <f t="shared" si="1"/>
        <v>0</v>
      </c>
    </row>
    <row r="7" spans="1:6" x14ac:dyDescent="0.2">
      <c r="A7" t="str" cm="1">
        <f t="array" ref="A7">IFERROR(INDEX('input player'!B:B, ROW()), "")</f>
        <v>SSRS</v>
      </c>
      <c r="B7" t="str" cm="1">
        <f t="array" ref="B7">IFERROR(INDEX('input player'!A:A, ROW()), "")</f>
        <v>SaSaRaSa</v>
      </c>
      <c r="C7" s="4">
        <v>0</v>
      </c>
      <c r="D7" s="8">
        <v>0</v>
      </c>
      <c r="E7" s="6">
        <f t="shared" si="0"/>
        <v>0</v>
      </c>
      <c r="F7" s="4">
        <f t="shared" si="1"/>
        <v>0</v>
      </c>
    </row>
    <row r="8" spans="1:6" x14ac:dyDescent="0.2">
      <c r="A8" t="str" cm="1">
        <f t="array" ref="A8">IFERROR(INDEX('input player'!B:B, ROW()), "")</f>
        <v>OP</v>
      </c>
      <c r="B8" t="str" cm="1">
        <f t="array" ref="B8">IFERROR(INDEX('input player'!A:A, ROW()), "")</f>
        <v>Onpara</v>
      </c>
      <c r="C8" s="4">
        <v>0</v>
      </c>
      <c r="D8" s="8">
        <v>0</v>
      </c>
      <c r="E8" s="6">
        <f t="shared" si="0"/>
        <v>0</v>
      </c>
      <c r="F8" s="4">
        <f t="shared" si="1"/>
        <v>0</v>
      </c>
    </row>
    <row r="9" spans="1:6" x14ac:dyDescent="0.2">
      <c r="A9" t="str" cm="1">
        <f t="array" ref="A9">IFERROR(INDEX('input player'!B:B, ROW()), "")</f>
        <v>NX</v>
      </c>
      <c r="B9" t="str" cm="1">
        <f t="array" ref="B9">IFERROR(INDEX('input player'!A:A, ROW()), "")</f>
        <v>NoXe</v>
      </c>
      <c r="C9" s="4">
        <v>0</v>
      </c>
      <c r="D9" s="8">
        <v>0</v>
      </c>
      <c r="E9" s="6">
        <f t="shared" si="0"/>
        <v>0</v>
      </c>
      <c r="F9" s="4">
        <f t="shared" si="1"/>
        <v>0</v>
      </c>
    </row>
    <row r="10" spans="1:6" x14ac:dyDescent="0.2">
      <c r="A10" t="str" cm="1">
        <f t="array" ref="A10">IFERROR(INDEX('input player'!B:B, ROW()), "")</f>
        <v>SBZ</v>
      </c>
      <c r="B10" t="str" cm="1">
        <f t="array" ref="B10">IFERROR(INDEX('input player'!A:A, ROW()), "")</f>
        <v>SEEBRAZ</v>
      </c>
      <c r="C10" s="4">
        <v>0</v>
      </c>
      <c r="D10" s="8">
        <v>0</v>
      </c>
      <c r="E10" s="6">
        <f t="shared" si="0"/>
        <v>0</v>
      </c>
      <c r="F10" s="4">
        <f t="shared" si="1"/>
        <v>0</v>
      </c>
    </row>
    <row r="11" spans="1:6" x14ac:dyDescent="0.2">
      <c r="A11" t="str" cm="1">
        <f t="array" ref="A11">IFERROR(INDEX('input player'!B:B, ROW()), "")</f>
        <v>FF</v>
      </c>
      <c r="B11" t="str" cm="1">
        <f t="array" ref="B11">IFERROR(INDEX('input player'!A:A, ROW()), "")</f>
        <v>ff</v>
      </c>
      <c r="C11" s="4">
        <v>0</v>
      </c>
      <c r="D11" s="8">
        <v>0</v>
      </c>
      <c r="E11" s="6">
        <f t="shared" si="0"/>
        <v>0</v>
      </c>
      <c r="F11" s="4">
        <f t="shared" si="1"/>
        <v>0</v>
      </c>
    </row>
    <row r="12" spans="1:6" x14ac:dyDescent="0.2">
      <c r="A12" t="str" cm="1">
        <f t="array" ref="A12">IFERROR(INDEX('input player'!B:B, ROW()), "")</f>
        <v>SDF</v>
      </c>
      <c r="B12" t="str" cm="1">
        <f t="array" ref="B12">IFERROR(INDEX('input player'!A:A, ROW()), "")</f>
        <v>sdfsdf</v>
      </c>
      <c r="C12" s="4">
        <v>0</v>
      </c>
      <c r="D12" s="8">
        <v>0</v>
      </c>
      <c r="E12" s="6">
        <f t="shared" si="0"/>
        <v>0</v>
      </c>
      <c r="F12" s="4">
        <f t="shared" si="1"/>
        <v>0</v>
      </c>
    </row>
    <row r="13" spans="1:6" x14ac:dyDescent="0.2">
      <c r="A13" t="str" cm="1">
        <f t="array" ref="A13">IFERROR(INDEX('input player'!B:B, ROW()), "")</f>
        <v>HHH</v>
      </c>
      <c r="B13" t="str" cm="1">
        <f t="array" ref="B13">IFERROR(INDEX('input player'!A:A, ROW()), "")</f>
        <v>HHHH</v>
      </c>
      <c r="C13" s="4">
        <v>0</v>
      </c>
      <c r="D13" s="8">
        <v>0</v>
      </c>
      <c r="E13" s="6">
        <f t="shared" si="0"/>
        <v>0</v>
      </c>
      <c r="F13" s="4">
        <f t="shared" si="1"/>
        <v>0</v>
      </c>
    </row>
    <row r="14" spans="1:6" x14ac:dyDescent="0.2">
      <c r="A14" t="str" cm="1">
        <f t="array" ref="A14">IFERROR(INDEX('input player'!B:B, ROW()), "")</f>
        <v>SSEE</v>
      </c>
      <c r="B14" t="str" cm="1">
        <f t="array" ref="B14">IFERROR(INDEX('input player'!A:A, ROW()), "")</f>
        <v>SSEE</v>
      </c>
      <c r="C14" s="4">
        <v>0</v>
      </c>
      <c r="D14" s="8">
        <v>0</v>
      </c>
      <c r="E14" s="6">
        <f t="shared" si="0"/>
        <v>0</v>
      </c>
      <c r="F14" s="4">
        <f t="shared" si="1"/>
        <v>0</v>
      </c>
    </row>
    <row r="15" spans="1:6" x14ac:dyDescent="0.2">
      <c r="A15" t="str" cm="1">
        <f t="array" ref="A15">IFERROR(INDEX('input player'!B:B, ROW()), "")</f>
        <v>RR</v>
      </c>
      <c r="B15" t="str" cm="1">
        <f t="array" ref="B15">IFERROR(INDEX('input player'!A:A, ROW()), "")</f>
        <v>rr</v>
      </c>
      <c r="C15" s="4">
        <v>0</v>
      </c>
      <c r="D15" s="8">
        <v>0</v>
      </c>
      <c r="E15" s="6">
        <f t="shared" si="0"/>
        <v>0</v>
      </c>
      <c r="F15" s="4">
        <f t="shared" si="1"/>
        <v>0</v>
      </c>
    </row>
    <row r="16" spans="1:6" x14ac:dyDescent="0.2">
      <c r="A16" t="str" cm="1">
        <f t="array" ref="A16">IFERROR(INDEX('input player'!B:B, ROW()), "")</f>
        <v>www</v>
      </c>
      <c r="B16" t="str" cm="1">
        <f t="array" ref="B16">IFERROR(INDEX('input player'!A:A, ROW()), "")</f>
        <v>wwww</v>
      </c>
      <c r="C16" s="4">
        <v>0</v>
      </c>
      <c r="D16" s="8">
        <v>0</v>
      </c>
      <c r="E16" s="6">
        <f t="shared" si="0"/>
        <v>0</v>
      </c>
      <c r="F16" s="4">
        <f t="shared" si="1"/>
        <v>0</v>
      </c>
    </row>
    <row r="17" spans="1:6" x14ac:dyDescent="0.2">
      <c r="A17" t="str" cm="1">
        <f t="array" ref="A17">IFERROR(INDEX('input player'!B:B, ROW()), "")</f>
        <v>ASFA</v>
      </c>
      <c r="B17" t="str" cm="1">
        <f t="array" ref="B17">IFERROR(INDEX('input player'!A:A, ROW()), "")</f>
        <v>asfasadsd</v>
      </c>
      <c r="C17" s="4">
        <v>0</v>
      </c>
      <c r="D17" s="8">
        <v>0</v>
      </c>
      <c r="E17" s="6">
        <f t="shared" si="0"/>
        <v>0</v>
      </c>
      <c r="F17" s="4">
        <f t="shared" si="1"/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8EBE7-2479-4D3E-BEEC-D7502AF40D3B}">
  <sheetPr>
    <tabColor theme="6" tint="-0.249977111117893"/>
  </sheetPr>
  <dimension ref="A1:F17"/>
  <sheetViews>
    <sheetView workbookViewId="0">
      <selection activeCell="K22" sqref="K22"/>
    </sheetView>
  </sheetViews>
  <sheetFormatPr defaultRowHeight="14.25" x14ac:dyDescent="0.2"/>
  <sheetData>
    <row r="1" spans="1:6" ht="28.5" x14ac:dyDescent="0.2">
      <c r="A1" s="2" t="s">
        <v>73</v>
      </c>
      <c r="B1" s="2" t="s">
        <v>74</v>
      </c>
      <c r="C1" s="3" t="s">
        <v>80</v>
      </c>
      <c r="D1" s="7" t="s">
        <v>81</v>
      </c>
      <c r="E1" s="5" t="s">
        <v>82</v>
      </c>
      <c r="F1" s="3" t="s">
        <v>83</v>
      </c>
    </row>
    <row r="2" spans="1:6" x14ac:dyDescent="0.2">
      <c r="A2" t="str" cm="1">
        <f t="array" ref="A2">IFERROR(INDEX('input player'!B:B, ROW()), "")</f>
        <v>AWD</v>
      </c>
      <c r="B2" t="str" cm="1">
        <f t="array" ref="B2">IFERROR(INDEX('input player'!A:A, ROW()), "")</f>
        <v>Award</v>
      </c>
      <c r="C2" s="4">
        <v>0</v>
      </c>
      <c r="D2" s="4">
        <v>0</v>
      </c>
      <c r="E2" s="6">
        <f>IF(C2=0,0,
IF(C2=1,10,
IF(C2=2,6,
IF(C2=3,5,
IF(C2=4,4,
IF(C2=5,3,
IF(C2=6,2,
IF(OR(C2=7,C2=8),1,0))))))))</f>
        <v>0</v>
      </c>
      <c r="F2" s="4">
        <f xml:space="preserve"> D2 + E2</f>
        <v>0</v>
      </c>
    </row>
    <row r="3" spans="1:6" x14ac:dyDescent="0.2">
      <c r="A3" t="str" cm="1">
        <f t="array" ref="A3">IFERROR(INDEX('input player'!B:B, ROW()), "")</f>
        <v>BOS</v>
      </c>
      <c r="B3" t="str" cm="1">
        <f t="array" ref="B3">IFERROR(INDEX('input player'!A:A, ROW()), "")</f>
        <v>BOSS</v>
      </c>
      <c r="C3" s="4">
        <v>0</v>
      </c>
      <c r="D3" s="4">
        <v>0</v>
      </c>
      <c r="E3" s="6">
        <f t="shared" ref="E3:E17" si="0">IF(C3=0,0,
IF(C3=1,10,
IF(C3=2,6,
IF(C3=3,5,
IF(C3=4,4,
IF(C3=5,3,
IF(C3=6,2,
IF(OR(C3=7,C3=8),1,0))))))))</f>
        <v>0</v>
      </c>
      <c r="F3" s="4">
        <f t="shared" ref="F3:F17" si="1" xml:space="preserve"> D3 + E3</f>
        <v>0</v>
      </c>
    </row>
    <row r="4" spans="1:6" x14ac:dyDescent="0.2">
      <c r="A4" t="str" cm="1">
        <f t="array" ref="A4">IFERROR(INDEX('input player'!B:B, ROW()), "")</f>
        <v>NVD</v>
      </c>
      <c r="B4" t="str" cm="1">
        <f t="array" ref="B4">IFERROR(INDEX('input player'!A:A, ROW()), "")</f>
        <v>NerverDIe</v>
      </c>
      <c r="C4" s="4">
        <v>0</v>
      </c>
      <c r="D4" s="4">
        <v>0</v>
      </c>
      <c r="E4" s="6">
        <f t="shared" si="0"/>
        <v>0</v>
      </c>
      <c r="F4" s="4">
        <f t="shared" si="1"/>
        <v>0</v>
      </c>
    </row>
    <row r="5" spans="1:6" x14ac:dyDescent="0.2">
      <c r="A5" t="str" cm="1">
        <f t="array" ref="A5">IFERROR(INDEX('input player'!B:B, ROW()), "")</f>
        <v>SBD</v>
      </c>
      <c r="B5" t="str" cm="1">
        <f t="array" ref="B5">IFERROR(INDEX('input player'!A:A, ROW()), "")</f>
        <v>Skibidy</v>
      </c>
      <c r="C5" s="4">
        <v>0</v>
      </c>
      <c r="D5" s="4">
        <v>0</v>
      </c>
      <c r="E5" s="6">
        <f t="shared" si="0"/>
        <v>0</v>
      </c>
      <c r="F5" s="4">
        <f t="shared" si="1"/>
        <v>0</v>
      </c>
    </row>
    <row r="6" spans="1:6" x14ac:dyDescent="0.2">
      <c r="A6" t="str" cm="1">
        <f t="array" ref="A6">IFERROR(INDEX('input player'!B:B, ROW()), "")</f>
        <v>RD</v>
      </c>
      <c r="B6" t="str" cm="1">
        <f t="array" ref="B6">IFERROR(INDEX('input player'!A:A, ROW()), "")</f>
        <v>Raddom</v>
      </c>
      <c r="C6" s="4">
        <v>0</v>
      </c>
      <c r="D6" s="4">
        <v>0</v>
      </c>
      <c r="E6" s="6">
        <f t="shared" si="0"/>
        <v>0</v>
      </c>
      <c r="F6" s="4">
        <f t="shared" si="1"/>
        <v>0</v>
      </c>
    </row>
    <row r="7" spans="1:6" x14ac:dyDescent="0.2">
      <c r="A7" t="str" cm="1">
        <f t="array" ref="A7">IFERROR(INDEX('input player'!B:B, ROW()), "")</f>
        <v>SSRS</v>
      </c>
      <c r="B7" t="str" cm="1">
        <f t="array" ref="B7">IFERROR(INDEX('input player'!A:A, ROW()), "")</f>
        <v>SaSaRaSa</v>
      </c>
      <c r="C7" s="4">
        <v>0</v>
      </c>
      <c r="D7" s="4">
        <v>0</v>
      </c>
      <c r="E7" s="6">
        <f t="shared" si="0"/>
        <v>0</v>
      </c>
      <c r="F7" s="4">
        <f t="shared" si="1"/>
        <v>0</v>
      </c>
    </row>
    <row r="8" spans="1:6" x14ac:dyDescent="0.2">
      <c r="A8" t="str" cm="1">
        <f t="array" ref="A8">IFERROR(INDEX('input player'!B:B, ROW()), "")</f>
        <v>OP</v>
      </c>
      <c r="B8" t="str" cm="1">
        <f t="array" ref="B8">IFERROR(INDEX('input player'!A:A, ROW()), "")</f>
        <v>Onpara</v>
      </c>
      <c r="C8" s="4">
        <v>0</v>
      </c>
      <c r="D8" s="4">
        <v>0</v>
      </c>
      <c r="E8" s="6">
        <f t="shared" si="0"/>
        <v>0</v>
      </c>
      <c r="F8" s="4">
        <f t="shared" si="1"/>
        <v>0</v>
      </c>
    </row>
    <row r="9" spans="1:6" x14ac:dyDescent="0.2">
      <c r="A9" t="str" cm="1">
        <f t="array" ref="A9">IFERROR(INDEX('input player'!B:B, ROW()), "")</f>
        <v>NX</v>
      </c>
      <c r="B9" t="str" cm="1">
        <f t="array" ref="B9">IFERROR(INDEX('input player'!A:A, ROW()), "")</f>
        <v>NoXe</v>
      </c>
      <c r="C9" s="4">
        <v>0</v>
      </c>
      <c r="D9" s="4">
        <v>0</v>
      </c>
      <c r="E9" s="6">
        <f t="shared" si="0"/>
        <v>0</v>
      </c>
      <c r="F9" s="4">
        <f t="shared" si="1"/>
        <v>0</v>
      </c>
    </row>
    <row r="10" spans="1:6" x14ac:dyDescent="0.2">
      <c r="A10" t="str" cm="1">
        <f t="array" ref="A10">IFERROR(INDEX('input player'!B:B, ROW()), "")</f>
        <v>SBZ</v>
      </c>
      <c r="B10" t="str" cm="1">
        <f t="array" ref="B10">IFERROR(INDEX('input player'!A:A, ROW()), "")</f>
        <v>SEEBRAZ</v>
      </c>
      <c r="C10" s="4">
        <v>0</v>
      </c>
      <c r="D10" s="4">
        <v>0</v>
      </c>
      <c r="E10" s="6">
        <f t="shared" si="0"/>
        <v>0</v>
      </c>
      <c r="F10" s="4">
        <f t="shared" si="1"/>
        <v>0</v>
      </c>
    </row>
    <row r="11" spans="1:6" x14ac:dyDescent="0.2">
      <c r="A11" t="str" cm="1">
        <f t="array" ref="A11">IFERROR(INDEX('input player'!B:B, ROW()), "")</f>
        <v>FF</v>
      </c>
      <c r="B11" t="str" cm="1">
        <f t="array" ref="B11">IFERROR(INDEX('input player'!A:A, ROW()), "")</f>
        <v>ff</v>
      </c>
      <c r="C11" s="4">
        <v>0</v>
      </c>
      <c r="D11" s="4">
        <v>0</v>
      </c>
      <c r="E11" s="6">
        <f t="shared" si="0"/>
        <v>0</v>
      </c>
      <c r="F11" s="4">
        <f t="shared" si="1"/>
        <v>0</v>
      </c>
    </row>
    <row r="12" spans="1:6" x14ac:dyDescent="0.2">
      <c r="A12" t="str" cm="1">
        <f t="array" ref="A12">IFERROR(INDEX('input player'!B:B, ROW()), "")</f>
        <v>SDF</v>
      </c>
      <c r="B12" t="str" cm="1">
        <f t="array" ref="B12">IFERROR(INDEX('input player'!A:A, ROW()), "")</f>
        <v>sdfsdf</v>
      </c>
      <c r="C12" s="4">
        <v>0</v>
      </c>
      <c r="D12" s="4">
        <v>0</v>
      </c>
      <c r="E12" s="6">
        <f t="shared" si="0"/>
        <v>0</v>
      </c>
      <c r="F12" s="4">
        <f t="shared" si="1"/>
        <v>0</v>
      </c>
    </row>
    <row r="13" spans="1:6" x14ac:dyDescent="0.2">
      <c r="A13" t="str" cm="1">
        <f t="array" ref="A13">IFERROR(INDEX('input player'!B:B, ROW()), "")</f>
        <v>HHH</v>
      </c>
      <c r="B13" t="str" cm="1">
        <f t="array" ref="B13">IFERROR(INDEX('input player'!A:A, ROW()), "")</f>
        <v>HHHH</v>
      </c>
      <c r="C13" s="4">
        <v>0</v>
      </c>
      <c r="D13" s="4">
        <v>0</v>
      </c>
      <c r="E13" s="6">
        <f t="shared" si="0"/>
        <v>0</v>
      </c>
      <c r="F13" s="4">
        <f t="shared" si="1"/>
        <v>0</v>
      </c>
    </row>
    <row r="14" spans="1:6" x14ac:dyDescent="0.2">
      <c r="A14" t="str" cm="1">
        <f t="array" ref="A14">IFERROR(INDEX('input player'!B:B, ROW()), "")</f>
        <v>SSEE</v>
      </c>
      <c r="B14" t="str" cm="1">
        <f t="array" ref="B14">IFERROR(INDEX('input player'!A:A, ROW()), "")</f>
        <v>SSEE</v>
      </c>
      <c r="C14" s="4">
        <v>0</v>
      </c>
      <c r="D14" s="4">
        <v>0</v>
      </c>
      <c r="E14" s="6">
        <f t="shared" si="0"/>
        <v>0</v>
      </c>
      <c r="F14" s="4">
        <f t="shared" si="1"/>
        <v>0</v>
      </c>
    </row>
    <row r="15" spans="1:6" x14ac:dyDescent="0.2">
      <c r="A15" t="str" cm="1">
        <f t="array" ref="A15">IFERROR(INDEX('input player'!B:B, ROW()), "")</f>
        <v>RR</v>
      </c>
      <c r="B15" t="str" cm="1">
        <f t="array" ref="B15">IFERROR(INDEX('input player'!A:A, ROW()), "")</f>
        <v>rr</v>
      </c>
      <c r="C15" s="4">
        <v>0</v>
      </c>
      <c r="D15" s="4">
        <v>0</v>
      </c>
      <c r="E15" s="6">
        <f t="shared" si="0"/>
        <v>0</v>
      </c>
      <c r="F15" s="4">
        <f t="shared" si="1"/>
        <v>0</v>
      </c>
    </row>
    <row r="16" spans="1:6" x14ac:dyDescent="0.2">
      <c r="A16" t="str" cm="1">
        <f t="array" ref="A16">IFERROR(INDEX('input player'!B:B, ROW()), "")</f>
        <v>www</v>
      </c>
      <c r="B16" t="str" cm="1">
        <f t="array" ref="B16">IFERROR(INDEX('input player'!A:A, ROW()), "")</f>
        <v>wwww</v>
      </c>
      <c r="C16" s="4">
        <v>0</v>
      </c>
      <c r="D16" s="4">
        <v>0</v>
      </c>
      <c r="E16" s="6">
        <f t="shared" si="0"/>
        <v>0</v>
      </c>
      <c r="F16" s="4">
        <f t="shared" si="1"/>
        <v>0</v>
      </c>
    </row>
    <row r="17" spans="1:6" x14ac:dyDescent="0.2">
      <c r="A17" t="str" cm="1">
        <f t="array" ref="A17">IFERROR(INDEX('input player'!B:B, ROW()), "")</f>
        <v>ASFA</v>
      </c>
      <c r="B17" t="str" cm="1">
        <f t="array" ref="B17">IFERROR(INDEX('input player'!A:A, ROW()), "")</f>
        <v>asfasadsd</v>
      </c>
      <c r="C17" s="4">
        <v>0</v>
      </c>
      <c r="D17" s="4">
        <v>0</v>
      </c>
      <c r="E17" s="6">
        <f t="shared" si="0"/>
        <v>0</v>
      </c>
      <c r="F17" s="4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6F71-82FF-4235-945F-B3159B151ADA}">
  <sheetPr>
    <tabColor theme="6" tint="-0.249977111117893"/>
  </sheetPr>
  <dimension ref="A1:F17"/>
  <sheetViews>
    <sheetView workbookViewId="0">
      <selection activeCell="K22" sqref="K22"/>
    </sheetView>
  </sheetViews>
  <sheetFormatPr defaultRowHeight="14.25" x14ac:dyDescent="0.2"/>
  <sheetData>
    <row r="1" spans="1:6" ht="28.5" x14ac:dyDescent="0.2">
      <c r="A1" s="2" t="s">
        <v>73</v>
      </c>
      <c r="B1" s="2" t="s">
        <v>74</v>
      </c>
      <c r="C1" s="3" t="s">
        <v>80</v>
      </c>
      <c r="D1" s="7" t="s">
        <v>81</v>
      </c>
      <c r="E1" s="5" t="s">
        <v>82</v>
      </c>
      <c r="F1" s="3" t="s">
        <v>83</v>
      </c>
    </row>
    <row r="2" spans="1:6" x14ac:dyDescent="0.2">
      <c r="A2" t="str" cm="1">
        <f t="array" ref="A2">IFERROR(INDEX('input player'!B:B, ROW()), "")</f>
        <v>AWD</v>
      </c>
      <c r="B2" t="str" cm="1">
        <f t="array" ref="B2">IFERROR(INDEX('input player'!A:A, ROW()), "")</f>
        <v>Award</v>
      </c>
      <c r="C2" s="4">
        <v>0</v>
      </c>
      <c r="D2" s="8">
        <v>0</v>
      </c>
      <c r="E2" s="6">
        <f>IF(C2=0,0,
IF(C2=1,10,
IF(C2=2,6,
IF(C2=3,5,
IF(C2=4,4,
IF(C2=5,3,
IF(C2=6,2,
IF(OR(C2=7,C2=8),1,0))))))))</f>
        <v>0</v>
      </c>
      <c r="F2" s="4">
        <f xml:space="preserve"> D2 + E2</f>
        <v>0</v>
      </c>
    </row>
    <row r="3" spans="1:6" x14ac:dyDescent="0.2">
      <c r="A3" t="str" cm="1">
        <f t="array" ref="A3">IFERROR(INDEX('input player'!B:B, ROW()), "")</f>
        <v>BOS</v>
      </c>
      <c r="B3" t="str" cm="1">
        <f t="array" ref="B3">IFERROR(INDEX('input player'!A:A, ROW()), "")</f>
        <v>BOSS</v>
      </c>
      <c r="C3" s="4">
        <v>0</v>
      </c>
      <c r="D3" s="8">
        <v>0</v>
      </c>
      <c r="E3" s="6">
        <f t="shared" ref="E3:E17" si="0">IF(C3=0,0,
IF(C3=1,10,
IF(C3=2,6,
IF(C3=3,5,
IF(C3=4,4,
IF(C3=5,3,
IF(C3=6,2,
IF(OR(C3=7,C3=8),1,0))))))))</f>
        <v>0</v>
      </c>
      <c r="F3" s="4">
        <f t="shared" ref="F3:F17" si="1" xml:space="preserve"> D3 + E3</f>
        <v>0</v>
      </c>
    </row>
    <row r="4" spans="1:6" x14ac:dyDescent="0.2">
      <c r="A4" t="str" cm="1">
        <f t="array" ref="A4">IFERROR(INDEX('input player'!B:B, ROW()), "")</f>
        <v>NVD</v>
      </c>
      <c r="B4" t="str" cm="1">
        <f t="array" ref="B4">IFERROR(INDEX('input player'!A:A, ROW()), "")</f>
        <v>NerverDIe</v>
      </c>
      <c r="C4" s="4">
        <v>0</v>
      </c>
      <c r="D4" s="8">
        <v>0</v>
      </c>
      <c r="E4" s="6">
        <f t="shared" si="0"/>
        <v>0</v>
      </c>
      <c r="F4" s="4">
        <f t="shared" si="1"/>
        <v>0</v>
      </c>
    </row>
    <row r="5" spans="1:6" x14ac:dyDescent="0.2">
      <c r="A5" t="str" cm="1">
        <f t="array" ref="A5">IFERROR(INDEX('input player'!B:B, ROW()), "")</f>
        <v>SBD</v>
      </c>
      <c r="B5" t="str" cm="1">
        <f t="array" ref="B5">IFERROR(INDEX('input player'!A:A, ROW()), "")</f>
        <v>Skibidy</v>
      </c>
      <c r="C5" s="4">
        <v>0</v>
      </c>
      <c r="D5" s="8">
        <v>0</v>
      </c>
      <c r="E5" s="6">
        <f t="shared" si="0"/>
        <v>0</v>
      </c>
      <c r="F5" s="4">
        <f t="shared" si="1"/>
        <v>0</v>
      </c>
    </row>
    <row r="6" spans="1:6" x14ac:dyDescent="0.2">
      <c r="A6" t="str" cm="1">
        <f t="array" ref="A6">IFERROR(INDEX('input player'!B:B, ROW()), "")</f>
        <v>RD</v>
      </c>
      <c r="B6" t="str" cm="1">
        <f t="array" ref="B6">IFERROR(INDEX('input player'!A:A, ROW()), "")</f>
        <v>Raddom</v>
      </c>
      <c r="C6" s="4">
        <v>0</v>
      </c>
      <c r="D6" s="8">
        <v>0</v>
      </c>
      <c r="E6" s="6">
        <f t="shared" si="0"/>
        <v>0</v>
      </c>
      <c r="F6" s="4">
        <f t="shared" si="1"/>
        <v>0</v>
      </c>
    </row>
    <row r="7" spans="1:6" x14ac:dyDescent="0.2">
      <c r="A7" t="str" cm="1">
        <f t="array" ref="A7">IFERROR(INDEX('input player'!B:B, ROW()), "")</f>
        <v>SSRS</v>
      </c>
      <c r="B7" t="str" cm="1">
        <f t="array" ref="B7">IFERROR(INDEX('input player'!A:A, ROW()), "")</f>
        <v>SaSaRaSa</v>
      </c>
      <c r="C7" s="4">
        <v>0</v>
      </c>
      <c r="D7" s="8">
        <v>0</v>
      </c>
      <c r="E7" s="6">
        <f t="shared" si="0"/>
        <v>0</v>
      </c>
      <c r="F7" s="4">
        <f t="shared" si="1"/>
        <v>0</v>
      </c>
    </row>
    <row r="8" spans="1:6" x14ac:dyDescent="0.2">
      <c r="A8" t="str" cm="1">
        <f t="array" ref="A8">IFERROR(INDEX('input player'!B:B, ROW()), "")</f>
        <v>OP</v>
      </c>
      <c r="B8" t="str" cm="1">
        <f t="array" ref="B8">IFERROR(INDEX('input player'!A:A, ROW()), "")</f>
        <v>Onpara</v>
      </c>
      <c r="C8" s="4">
        <v>0</v>
      </c>
      <c r="D8" s="8">
        <v>0</v>
      </c>
      <c r="E8" s="6">
        <f t="shared" si="0"/>
        <v>0</v>
      </c>
      <c r="F8" s="4">
        <f t="shared" si="1"/>
        <v>0</v>
      </c>
    </row>
    <row r="9" spans="1:6" x14ac:dyDescent="0.2">
      <c r="A9" t="str" cm="1">
        <f t="array" ref="A9">IFERROR(INDEX('input player'!B:B, ROW()), "")</f>
        <v>NX</v>
      </c>
      <c r="B9" t="str" cm="1">
        <f t="array" ref="B9">IFERROR(INDEX('input player'!A:A, ROW()), "")</f>
        <v>NoXe</v>
      </c>
      <c r="C9" s="4">
        <v>0</v>
      </c>
      <c r="D9" s="8">
        <v>0</v>
      </c>
      <c r="E9" s="6">
        <f t="shared" si="0"/>
        <v>0</v>
      </c>
      <c r="F9" s="4">
        <f t="shared" si="1"/>
        <v>0</v>
      </c>
    </row>
    <row r="10" spans="1:6" x14ac:dyDescent="0.2">
      <c r="A10" t="str" cm="1">
        <f t="array" ref="A10">IFERROR(INDEX('input player'!B:B, ROW()), "")</f>
        <v>SBZ</v>
      </c>
      <c r="B10" t="str" cm="1">
        <f t="array" ref="B10">IFERROR(INDEX('input player'!A:A, ROW()), "")</f>
        <v>SEEBRAZ</v>
      </c>
      <c r="C10" s="4">
        <v>0</v>
      </c>
      <c r="D10" s="8">
        <v>0</v>
      </c>
      <c r="E10" s="6">
        <f t="shared" si="0"/>
        <v>0</v>
      </c>
      <c r="F10" s="4">
        <f t="shared" si="1"/>
        <v>0</v>
      </c>
    </row>
    <row r="11" spans="1:6" x14ac:dyDescent="0.2">
      <c r="A11" t="str" cm="1">
        <f t="array" ref="A11">IFERROR(INDEX('input player'!B:B, ROW()), "")</f>
        <v>FF</v>
      </c>
      <c r="B11" t="str" cm="1">
        <f t="array" ref="B11">IFERROR(INDEX('input player'!A:A, ROW()), "")</f>
        <v>ff</v>
      </c>
      <c r="C11" s="4">
        <v>0</v>
      </c>
      <c r="D11" s="8">
        <v>0</v>
      </c>
      <c r="E11" s="6">
        <f t="shared" si="0"/>
        <v>0</v>
      </c>
      <c r="F11" s="4">
        <f t="shared" si="1"/>
        <v>0</v>
      </c>
    </row>
    <row r="12" spans="1:6" x14ac:dyDescent="0.2">
      <c r="A12" t="str" cm="1">
        <f t="array" ref="A12">IFERROR(INDEX('input player'!B:B, ROW()), "")</f>
        <v>SDF</v>
      </c>
      <c r="B12" t="str" cm="1">
        <f t="array" ref="B12">IFERROR(INDEX('input player'!A:A, ROW()), "")</f>
        <v>sdfsdf</v>
      </c>
      <c r="C12" s="4">
        <v>0</v>
      </c>
      <c r="D12" s="8">
        <v>0</v>
      </c>
      <c r="E12" s="6">
        <f t="shared" si="0"/>
        <v>0</v>
      </c>
      <c r="F12" s="4">
        <f t="shared" si="1"/>
        <v>0</v>
      </c>
    </row>
    <row r="13" spans="1:6" x14ac:dyDescent="0.2">
      <c r="A13" t="str" cm="1">
        <f t="array" ref="A13">IFERROR(INDEX('input player'!B:B, ROW()), "")</f>
        <v>HHH</v>
      </c>
      <c r="B13" t="str" cm="1">
        <f t="array" ref="B13">IFERROR(INDEX('input player'!A:A, ROW()), "")</f>
        <v>HHHH</v>
      </c>
      <c r="C13" s="4">
        <v>0</v>
      </c>
      <c r="D13" s="8">
        <v>0</v>
      </c>
      <c r="E13" s="6">
        <f t="shared" si="0"/>
        <v>0</v>
      </c>
      <c r="F13" s="4">
        <f t="shared" si="1"/>
        <v>0</v>
      </c>
    </row>
    <row r="14" spans="1:6" x14ac:dyDescent="0.2">
      <c r="A14" t="str" cm="1">
        <f t="array" ref="A14">IFERROR(INDEX('input player'!B:B, ROW()), "")</f>
        <v>SSEE</v>
      </c>
      <c r="B14" t="str" cm="1">
        <f t="array" ref="B14">IFERROR(INDEX('input player'!A:A, ROW()), "")</f>
        <v>SSEE</v>
      </c>
      <c r="C14" s="4">
        <v>0</v>
      </c>
      <c r="D14" s="8">
        <v>0</v>
      </c>
      <c r="E14" s="6">
        <f t="shared" si="0"/>
        <v>0</v>
      </c>
      <c r="F14" s="4">
        <f t="shared" si="1"/>
        <v>0</v>
      </c>
    </row>
    <row r="15" spans="1:6" x14ac:dyDescent="0.2">
      <c r="A15" t="str" cm="1">
        <f t="array" ref="A15">IFERROR(INDEX('input player'!B:B, ROW()), "")</f>
        <v>RR</v>
      </c>
      <c r="B15" t="str" cm="1">
        <f t="array" ref="B15">IFERROR(INDEX('input player'!A:A, ROW()), "")</f>
        <v>rr</v>
      </c>
      <c r="C15" s="4">
        <v>0</v>
      </c>
      <c r="D15" s="8">
        <v>0</v>
      </c>
      <c r="E15" s="6">
        <f t="shared" si="0"/>
        <v>0</v>
      </c>
      <c r="F15" s="4">
        <f t="shared" si="1"/>
        <v>0</v>
      </c>
    </row>
    <row r="16" spans="1:6" x14ac:dyDescent="0.2">
      <c r="A16" t="str" cm="1">
        <f t="array" ref="A16">IFERROR(INDEX('input player'!B:B, ROW()), "")</f>
        <v>www</v>
      </c>
      <c r="B16" t="str" cm="1">
        <f t="array" ref="B16">IFERROR(INDEX('input player'!A:A, ROW()), "")</f>
        <v>wwww</v>
      </c>
      <c r="C16" s="4">
        <v>0</v>
      </c>
      <c r="D16" s="8">
        <v>0</v>
      </c>
      <c r="E16" s="6">
        <f t="shared" si="0"/>
        <v>0</v>
      </c>
      <c r="F16" s="4">
        <f t="shared" si="1"/>
        <v>0</v>
      </c>
    </row>
    <row r="17" spans="1:6" x14ac:dyDescent="0.2">
      <c r="A17" t="str" cm="1">
        <f t="array" ref="A17">IFERROR(INDEX('input player'!B:B, ROW()), "")</f>
        <v>ASFA</v>
      </c>
      <c r="B17" t="str" cm="1">
        <f t="array" ref="B17">IFERROR(INDEX('input player'!A:A, ROW()), "")</f>
        <v>asfasadsd</v>
      </c>
      <c r="C17" s="4">
        <v>0</v>
      </c>
      <c r="D17" s="8">
        <v>0</v>
      </c>
      <c r="E17" s="6">
        <f t="shared" si="0"/>
        <v>0</v>
      </c>
      <c r="F17" s="4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155C3-7759-41ED-A756-A7129EDDE4F6}">
  <sheetPr>
    <tabColor theme="6" tint="-0.249977111117893"/>
  </sheetPr>
  <dimension ref="A1:F17"/>
  <sheetViews>
    <sheetView workbookViewId="0">
      <selection activeCell="K22" sqref="K22"/>
    </sheetView>
  </sheetViews>
  <sheetFormatPr defaultRowHeight="14.25" x14ac:dyDescent="0.2"/>
  <sheetData>
    <row r="1" spans="1:6" ht="28.5" x14ac:dyDescent="0.2">
      <c r="A1" s="2" t="s">
        <v>73</v>
      </c>
      <c r="B1" s="2" t="s">
        <v>74</v>
      </c>
      <c r="C1" s="3" t="s">
        <v>80</v>
      </c>
      <c r="D1" s="7" t="s">
        <v>81</v>
      </c>
      <c r="E1" s="5" t="s">
        <v>82</v>
      </c>
      <c r="F1" s="3" t="s">
        <v>83</v>
      </c>
    </row>
    <row r="2" spans="1:6" x14ac:dyDescent="0.2">
      <c r="A2" t="str" cm="1">
        <f t="array" ref="A2">IFERROR(INDEX('input player'!B:B, ROW()), "")</f>
        <v>AWD</v>
      </c>
      <c r="B2" t="str" cm="1">
        <f t="array" ref="B2">IFERROR(INDEX('input player'!A:A, ROW()), "")</f>
        <v>Award</v>
      </c>
      <c r="C2" s="4">
        <v>0</v>
      </c>
      <c r="D2" s="8">
        <v>0</v>
      </c>
      <c r="E2" s="6">
        <f>IF(C2=0,0,
IF(C2=1,10,
IF(C2=2,6,
IF(C2=3,5,
IF(C2=4,4,
IF(C2=5,3,
IF(C2=6,2,
IF(OR(C2=7,C2=8),1,0))))))))</f>
        <v>0</v>
      </c>
      <c r="F2" s="4">
        <f xml:space="preserve"> D2 + E2</f>
        <v>0</v>
      </c>
    </row>
    <row r="3" spans="1:6" x14ac:dyDescent="0.2">
      <c r="A3" t="str" cm="1">
        <f t="array" ref="A3">IFERROR(INDEX('input player'!B:B, ROW()), "")</f>
        <v>BOS</v>
      </c>
      <c r="B3" t="str" cm="1">
        <f t="array" ref="B3">IFERROR(INDEX('input player'!A:A, ROW()), "")</f>
        <v>BOSS</v>
      </c>
      <c r="C3" s="4">
        <v>0</v>
      </c>
      <c r="D3" s="8">
        <v>0</v>
      </c>
      <c r="E3" s="6">
        <f t="shared" ref="E3:E17" si="0">IF(C3=0,0,
IF(C3=1,10,
IF(C3=2,6,
IF(C3=3,5,
IF(C3=4,4,
IF(C3=5,3,
IF(C3=6,2,
IF(OR(C3=7,C3=8),1,0))))))))</f>
        <v>0</v>
      </c>
      <c r="F3" s="4">
        <f t="shared" ref="F3:F17" si="1" xml:space="preserve"> D3 + E3</f>
        <v>0</v>
      </c>
    </row>
    <row r="4" spans="1:6" x14ac:dyDescent="0.2">
      <c r="A4" t="str" cm="1">
        <f t="array" ref="A4">IFERROR(INDEX('input player'!B:B, ROW()), "")</f>
        <v>NVD</v>
      </c>
      <c r="B4" t="str" cm="1">
        <f t="array" ref="B4">IFERROR(INDEX('input player'!A:A, ROW()), "")</f>
        <v>NerverDIe</v>
      </c>
      <c r="C4" s="4">
        <v>0</v>
      </c>
      <c r="D4" s="8">
        <v>0</v>
      </c>
      <c r="E4" s="6">
        <f t="shared" si="0"/>
        <v>0</v>
      </c>
      <c r="F4" s="4">
        <f t="shared" si="1"/>
        <v>0</v>
      </c>
    </row>
    <row r="5" spans="1:6" x14ac:dyDescent="0.2">
      <c r="A5" t="str" cm="1">
        <f t="array" ref="A5">IFERROR(INDEX('input player'!B:B, ROW()), "")</f>
        <v>SBD</v>
      </c>
      <c r="B5" t="str" cm="1">
        <f t="array" ref="B5">IFERROR(INDEX('input player'!A:A, ROW()), "")</f>
        <v>Skibidy</v>
      </c>
      <c r="C5" s="4">
        <v>0</v>
      </c>
      <c r="D5" s="8">
        <v>0</v>
      </c>
      <c r="E5" s="6">
        <f t="shared" si="0"/>
        <v>0</v>
      </c>
      <c r="F5" s="4">
        <f t="shared" si="1"/>
        <v>0</v>
      </c>
    </row>
    <row r="6" spans="1:6" x14ac:dyDescent="0.2">
      <c r="A6" t="str" cm="1">
        <f t="array" ref="A6">IFERROR(INDEX('input player'!B:B, ROW()), "")</f>
        <v>RD</v>
      </c>
      <c r="B6" t="str" cm="1">
        <f t="array" ref="B6">IFERROR(INDEX('input player'!A:A, ROW()), "")</f>
        <v>Raddom</v>
      </c>
      <c r="C6" s="4">
        <v>0</v>
      </c>
      <c r="D6" s="8">
        <v>0</v>
      </c>
      <c r="E6" s="6">
        <f t="shared" si="0"/>
        <v>0</v>
      </c>
      <c r="F6" s="4">
        <f t="shared" si="1"/>
        <v>0</v>
      </c>
    </row>
    <row r="7" spans="1:6" x14ac:dyDescent="0.2">
      <c r="A7" t="str" cm="1">
        <f t="array" ref="A7">IFERROR(INDEX('input player'!B:B, ROW()), "")</f>
        <v>SSRS</v>
      </c>
      <c r="B7" t="str" cm="1">
        <f t="array" ref="B7">IFERROR(INDEX('input player'!A:A, ROW()), "")</f>
        <v>SaSaRaSa</v>
      </c>
      <c r="C7" s="4">
        <v>0</v>
      </c>
      <c r="D7" s="8">
        <v>0</v>
      </c>
      <c r="E7" s="6">
        <f t="shared" si="0"/>
        <v>0</v>
      </c>
      <c r="F7" s="4">
        <f t="shared" si="1"/>
        <v>0</v>
      </c>
    </row>
    <row r="8" spans="1:6" x14ac:dyDescent="0.2">
      <c r="A8" t="str" cm="1">
        <f t="array" ref="A8">IFERROR(INDEX('input player'!B:B, ROW()), "")</f>
        <v>OP</v>
      </c>
      <c r="B8" t="str" cm="1">
        <f t="array" ref="B8">IFERROR(INDEX('input player'!A:A, ROW()), "")</f>
        <v>Onpara</v>
      </c>
      <c r="C8" s="4">
        <v>0</v>
      </c>
      <c r="D8" s="8">
        <v>0</v>
      </c>
      <c r="E8" s="6">
        <f t="shared" si="0"/>
        <v>0</v>
      </c>
      <c r="F8" s="4">
        <f t="shared" si="1"/>
        <v>0</v>
      </c>
    </row>
    <row r="9" spans="1:6" x14ac:dyDescent="0.2">
      <c r="A9" t="str" cm="1">
        <f t="array" ref="A9">IFERROR(INDEX('input player'!B:B, ROW()), "")</f>
        <v>NX</v>
      </c>
      <c r="B9" t="str" cm="1">
        <f t="array" ref="B9">IFERROR(INDEX('input player'!A:A, ROW()), "")</f>
        <v>NoXe</v>
      </c>
      <c r="C9" s="4">
        <v>0</v>
      </c>
      <c r="D9" s="8">
        <v>0</v>
      </c>
      <c r="E9" s="6">
        <f t="shared" si="0"/>
        <v>0</v>
      </c>
      <c r="F9" s="4">
        <f t="shared" si="1"/>
        <v>0</v>
      </c>
    </row>
    <row r="10" spans="1:6" x14ac:dyDescent="0.2">
      <c r="A10" t="str" cm="1">
        <f t="array" ref="A10">IFERROR(INDEX('input player'!B:B, ROW()), "")</f>
        <v>SBZ</v>
      </c>
      <c r="B10" t="str" cm="1">
        <f t="array" ref="B10">IFERROR(INDEX('input player'!A:A, ROW()), "")</f>
        <v>SEEBRAZ</v>
      </c>
      <c r="C10" s="4">
        <v>0</v>
      </c>
      <c r="D10" s="8">
        <v>0</v>
      </c>
      <c r="E10" s="6">
        <f t="shared" si="0"/>
        <v>0</v>
      </c>
      <c r="F10" s="4">
        <f t="shared" si="1"/>
        <v>0</v>
      </c>
    </row>
    <row r="11" spans="1:6" x14ac:dyDescent="0.2">
      <c r="A11" t="str" cm="1">
        <f t="array" ref="A11">IFERROR(INDEX('input player'!B:B, ROW()), "")</f>
        <v>FF</v>
      </c>
      <c r="B11" t="str" cm="1">
        <f t="array" ref="B11">IFERROR(INDEX('input player'!A:A, ROW()), "")</f>
        <v>ff</v>
      </c>
      <c r="C11" s="4">
        <v>0</v>
      </c>
      <c r="D11" s="8">
        <v>0</v>
      </c>
      <c r="E11" s="6">
        <f t="shared" si="0"/>
        <v>0</v>
      </c>
      <c r="F11" s="4">
        <f t="shared" si="1"/>
        <v>0</v>
      </c>
    </row>
    <row r="12" spans="1:6" x14ac:dyDescent="0.2">
      <c r="A12" t="str" cm="1">
        <f t="array" ref="A12">IFERROR(INDEX('input player'!B:B, ROW()), "")</f>
        <v>SDF</v>
      </c>
      <c r="B12" t="str" cm="1">
        <f t="array" ref="B12">IFERROR(INDEX('input player'!A:A, ROW()), "")</f>
        <v>sdfsdf</v>
      </c>
      <c r="C12" s="4">
        <v>0</v>
      </c>
      <c r="D12" s="8">
        <v>0</v>
      </c>
      <c r="E12" s="6">
        <f t="shared" si="0"/>
        <v>0</v>
      </c>
      <c r="F12" s="4">
        <f t="shared" si="1"/>
        <v>0</v>
      </c>
    </row>
    <row r="13" spans="1:6" x14ac:dyDescent="0.2">
      <c r="A13" t="str" cm="1">
        <f t="array" ref="A13">IFERROR(INDEX('input player'!B:B, ROW()), "")</f>
        <v>HHH</v>
      </c>
      <c r="B13" t="str" cm="1">
        <f t="array" ref="B13">IFERROR(INDEX('input player'!A:A, ROW()), "")</f>
        <v>HHHH</v>
      </c>
      <c r="C13" s="4">
        <v>0</v>
      </c>
      <c r="D13" s="8">
        <v>0</v>
      </c>
      <c r="E13" s="6">
        <f t="shared" si="0"/>
        <v>0</v>
      </c>
      <c r="F13" s="4">
        <f t="shared" si="1"/>
        <v>0</v>
      </c>
    </row>
    <row r="14" spans="1:6" x14ac:dyDescent="0.2">
      <c r="A14" t="str" cm="1">
        <f t="array" ref="A14">IFERROR(INDEX('input player'!B:B, ROW()), "")</f>
        <v>SSEE</v>
      </c>
      <c r="B14" t="str" cm="1">
        <f t="array" ref="B14">IFERROR(INDEX('input player'!A:A, ROW()), "")</f>
        <v>SSEE</v>
      </c>
      <c r="C14" s="4">
        <v>0</v>
      </c>
      <c r="D14" s="8">
        <v>0</v>
      </c>
      <c r="E14" s="6">
        <f t="shared" si="0"/>
        <v>0</v>
      </c>
      <c r="F14" s="4">
        <f t="shared" si="1"/>
        <v>0</v>
      </c>
    </row>
    <row r="15" spans="1:6" x14ac:dyDescent="0.2">
      <c r="A15" t="str" cm="1">
        <f t="array" ref="A15">IFERROR(INDEX('input player'!B:B, ROW()), "")</f>
        <v>RR</v>
      </c>
      <c r="B15" t="str" cm="1">
        <f t="array" ref="B15">IFERROR(INDEX('input player'!A:A, ROW()), "")</f>
        <v>rr</v>
      </c>
      <c r="C15" s="4">
        <v>0</v>
      </c>
      <c r="D15" s="8">
        <v>0</v>
      </c>
      <c r="E15" s="6">
        <f t="shared" si="0"/>
        <v>0</v>
      </c>
      <c r="F15" s="4">
        <f t="shared" si="1"/>
        <v>0</v>
      </c>
    </row>
    <row r="16" spans="1:6" x14ac:dyDescent="0.2">
      <c r="A16" t="str" cm="1">
        <f t="array" ref="A16">IFERROR(INDEX('input player'!B:B, ROW()), "")</f>
        <v>www</v>
      </c>
      <c r="B16" t="str" cm="1">
        <f t="array" ref="B16">IFERROR(INDEX('input player'!A:A, ROW()), "")</f>
        <v>wwww</v>
      </c>
      <c r="C16" s="4">
        <v>0</v>
      </c>
      <c r="D16" s="8">
        <v>0</v>
      </c>
      <c r="E16" s="6">
        <f t="shared" si="0"/>
        <v>0</v>
      </c>
      <c r="F16" s="4">
        <f t="shared" si="1"/>
        <v>0</v>
      </c>
    </row>
    <row r="17" spans="1:6" x14ac:dyDescent="0.2">
      <c r="A17" t="str" cm="1">
        <f t="array" ref="A17">IFERROR(INDEX('input player'!B:B, ROW()), "")</f>
        <v>ASFA</v>
      </c>
      <c r="B17" t="str" cm="1">
        <f t="array" ref="B17">IFERROR(INDEX('input player'!A:A, ROW()), "")</f>
        <v>asfasadsd</v>
      </c>
      <c r="C17" s="4">
        <v>0</v>
      </c>
      <c r="D17" s="8">
        <v>0</v>
      </c>
      <c r="E17" s="6">
        <f t="shared" si="0"/>
        <v>0</v>
      </c>
      <c r="F17" s="4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CDCF-AC86-478D-9345-A96584074D66}">
  <sheetPr>
    <tabColor rgb="FF00B050"/>
  </sheetPr>
  <dimension ref="A1:F17"/>
  <sheetViews>
    <sheetView workbookViewId="0">
      <selection activeCell="E2" sqref="E2:E17"/>
    </sheetView>
  </sheetViews>
  <sheetFormatPr defaultRowHeight="14.25" x14ac:dyDescent="0.2"/>
  <sheetData>
    <row r="1" spans="1:6" ht="28.5" x14ac:dyDescent="0.2">
      <c r="A1" s="2" t="s">
        <v>73</v>
      </c>
      <c r="B1" s="2" t="s">
        <v>74</v>
      </c>
      <c r="C1" s="3" t="s">
        <v>80</v>
      </c>
      <c r="D1" s="7" t="s">
        <v>81</v>
      </c>
      <c r="E1" s="5" t="s">
        <v>82</v>
      </c>
      <c r="F1" s="3" t="s">
        <v>83</v>
      </c>
    </row>
    <row r="2" spans="1:6" x14ac:dyDescent="0.2">
      <c r="A2" t="str" cm="1">
        <f t="array" ref="A2">IFERROR(INDEX('input player'!B:B, ROW()), "")</f>
        <v>AWD</v>
      </c>
      <c r="B2" t="str" cm="1">
        <f t="array" ref="B2">IFERROR(INDEX('input player'!A:A, ROW()), "")</f>
        <v>Award</v>
      </c>
      <c r="C2" s="4">
        <v>0</v>
      </c>
      <c r="D2" s="8">
        <v>0</v>
      </c>
      <c r="E2" s="6">
        <f>IF(C2=0,0,
IF(C2=1,10,
IF(C2=2,6,
IF(C2=3,5,
IF(C2=4,4,
IF(C2=5,3,
IF(C2=6,2,
IF(OR(C2=7,C2=8),1,0))))))))</f>
        <v>0</v>
      </c>
      <c r="F2" s="4">
        <f xml:space="preserve"> D2 + E2</f>
        <v>0</v>
      </c>
    </row>
    <row r="3" spans="1:6" x14ac:dyDescent="0.2">
      <c r="A3" t="str" cm="1">
        <f t="array" ref="A3">IFERROR(INDEX('input player'!B:B, ROW()), "")</f>
        <v>BOS</v>
      </c>
      <c r="B3" t="str" cm="1">
        <f t="array" ref="B3">IFERROR(INDEX('input player'!A:A, ROW()), "")</f>
        <v>BOSS</v>
      </c>
      <c r="C3" s="4">
        <v>0</v>
      </c>
      <c r="D3" s="8">
        <v>0</v>
      </c>
      <c r="E3" s="6">
        <f t="shared" ref="E3:E17" si="0">IF(C3=0,0,
IF(C3=1,10,
IF(C3=2,6,
IF(C3=3,5,
IF(C3=4,4,
IF(C3=5,3,
IF(C3=6,2,
IF(OR(C3=7,C3=8),1,0))))))))</f>
        <v>0</v>
      </c>
      <c r="F3" s="4">
        <f t="shared" ref="F3:F17" si="1" xml:space="preserve"> D3 + E3</f>
        <v>0</v>
      </c>
    </row>
    <row r="4" spans="1:6" x14ac:dyDescent="0.2">
      <c r="A4" t="str" cm="1">
        <f t="array" ref="A4">IFERROR(INDEX('input player'!B:B, ROW()), "")</f>
        <v>NVD</v>
      </c>
      <c r="B4" t="str" cm="1">
        <f t="array" ref="B4">IFERROR(INDEX('input player'!A:A, ROW()), "")</f>
        <v>NerverDIe</v>
      </c>
      <c r="C4" s="4">
        <v>0</v>
      </c>
      <c r="D4" s="8">
        <v>0</v>
      </c>
      <c r="E4" s="6">
        <f t="shared" si="0"/>
        <v>0</v>
      </c>
      <c r="F4" s="4">
        <f t="shared" si="1"/>
        <v>0</v>
      </c>
    </row>
    <row r="5" spans="1:6" x14ac:dyDescent="0.2">
      <c r="A5" t="str" cm="1">
        <f t="array" ref="A5">IFERROR(INDEX('input player'!B:B, ROW()), "")</f>
        <v>SBD</v>
      </c>
      <c r="B5" t="str" cm="1">
        <f t="array" ref="B5">IFERROR(INDEX('input player'!A:A, ROW()), "")</f>
        <v>Skibidy</v>
      </c>
      <c r="C5" s="4">
        <v>0</v>
      </c>
      <c r="D5" s="8">
        <v>0</v>
      </c>
      <c r="E5" s="6">
        <f t="shared" si="0"/>
        <v>0</v>
      </c>
      <c r="F5" s="4">
        <f t="shared" si="1"/>
        <v>0</v>
      </c>
    </row>
    <row r="6" spans="1:6" x14ac:dyDescent="0.2">
      <c r="A6" t="str" cm="1">
        <f t="array" ref="A6">IFERROR(INDEX('input player'!B:B, ROW()), "")</f>
        <v>RD</v>
      </c>
      <c r="B6" t="str" cm="1">
        <f t="array" ref="B6">IFERROR(INDEX('input player'!A:A, ROW()), "")</f>
        <v>Raddom</v>
      </c>
      <c r="C6" s="4">
        <v>0</v>
      </c>
      <c r="D6" s="8">
        <v>0</v>
      </c>
      <c r="E6" s="6">
        <f t="shared" si="0"/>
        <v>0</v>
      </c>
      <c r="F6" s="4">
        <f t="shared" si="1"/>
        <v>0</v>
      </c>
    </row>
    <row r="7" spans="1:6" x14ac:dyDescent="0.2">
      <c r="A7" t="str" cm="1">
        <f t="array" ref="A7">IFERROR(INDEX('input player'!B:B, ROW()), "")</f>
        <v>SSRS</v>
      </c>
      <c r="B7" t="str" cm="1">
        <f t="array" ref="B7">IFERROR(INDEX('input player'!A:A, ROW()), "")</f>
        <v>SaSaRaSa</v>
      </c>
      <c r="C7" s="4">
        <v>0</v>
      </c>
      <c r="D7" s="8">
        <v>0</v>
      </c>
      <c r="E7" s="6">
        <f t="shared" si="0"/>
        <v>0</v>
      </c>
      <c r="F7" s="4">
        <f t="shared" si="1"/>
        <v>0</v>
      </c>
    </row>
    <row r="8" spans="1:6" x14ac:dyDescent="0.2">
      <c r="A8" t="str" cm="1">
        <f t="array" ref="A8">IFERROR(INDEX('input player'!B:B, ROW()), "")</f>
        <v>OP</v>
      </c>
      <c r="B8" t="str" cm="1">
        <f t="array" ref="B8">IFERROR(INDEX('input player'!A:A, ROW()), "")</f>
        <v>Onpara</v>
      </c>
      <c r="C8" s="4">
        <v>0</v>
      </c>
      <c r="D8" s="8">
        <v>0</v>
      </c>
      <c r="E8" s="6">
        <f t="shared" si="0"/>
        <v>0</v>
      </c>
      <c r="F8" s="4">
        <f t="shared" si="1"/>
        <v>0</v>
      </c>
    </row>
    <row r="9" spans="1:6" x14ac:dyDescent="0.2">
      <c r="A9" t="str" cm="1">
        <f t="array" ref="A9">IFERROR(INDEX('input player'!B:B, ROW()), "")</f>
        <v>NX</v>
      </c>
      <c r="B9" t="str" cm="1">
        <f t="array" ref="B9">IFERROR(INDEX('input player'!A:A, ROW()), "")</f>
        <v>NoXe</v>
      </c>
      <c r="C9" s="4">
        <v>0</v>
      </c>
      <c r="D9" s="8">
        <v>0</v>
      </c>
      <c r="E9" s="6">
        <f t="shared" si="0"/>
        <v>0</v>
      </c>
      <c r="F9" s="4">
        <f t="shared" si="1"/>
        <v>0</v>
      </c>
    </row>
    <row r="10" spans="1:6" x14ac:dyDescent="0.2">
      <c r="A10" t="str" cm="1">
        <f t="array" ref="A10">IFERROR(INDEX('input player'!B:B, ROW()), "")</f>
        <v>SBZ</v>
      </c>
      <c r="B10" t="str" cm="1">
        <f t="array" ref="B10">IFERROR(INDEX('input player'!A:A, ROW()), "")</f>
        <v>SEEBRAZ</v>
      </c>
      <c r="C10" s="4">
        <v>0</v>
      </c>
      <c r="D10" s="8">
        <v>0</v>
      </c>
      <c r="E10" s="6">
        <f t="shared" si="0"/>
        <v>0</v>
      </c>
      <c r="F10" s="4">
        <f t="shared" si="1"/>
        <v>0</v>
      </c>
    </row>
    <row r="11" spans="1:6" x14ac:dyDescent="0.2">
      <c r="A11" t="str" cm="1">
        <f t="array" ref="A11">IFERROR(INDEX('input player'!B:B, ROW()), "")</f>
        <v>FF</v>
      </c>
      <c r="B11" t="str" cm="1">
        <f t="array" ref="B11">IFERROR(INDEX('input player'!A:A, ROW()), "")</f>
        <v>ff</v>
      </c>
      <c r="C11" s="4">
        <v>0</v>
      </c>
      <c r="D11" s="8">
        <v>0</v>
      </c>
      <c r="E11" s="6">
        <f t="shared" si="0"/>
        <v>0</v>
      </c>
      <c r="F11" s="4">
        <f t="shared" si="1"/>
        <v>0</v>
      </c>
    </row>
    <row r="12" spans="1:6" x14ac:dyDescent="0.2">
      <c r="A12" t="str" cm="1">
        <f t="array" ref="A12">IFERROR(INDEX('input player'!B:B, ROW()), "")</f>
        <v>SDF</v>
      </c>
      <c r="B12" t="str" cm="1">
        <f t="array" ref="B12">IFERROR(INDEX('input player'!A:A, ROW()), "")</f>
        <v>sdfsdf</v>
      </c>
      <c r="C12" s="4">
        <v>0</v>
      </c>
      <c r="D12" s="8">
        <v>0</v>
      </c>
      <c r="E12" s="6">
        <f t="shared" si="0"/>
        <v>0</v>
      </c>
      <c r="F12" s="4">
        <f t="shared" si="1"/>
        <v>0</v>
      </c>
    </row>
    <row r="13" spans="1:6" x14ac:dyDescent="0.2">
      <c r="A13" t="str" cm="1">
        <f t="array" ref="A13">IFERROR(INDEX('input player'!B:B, ROW()), "")</f>
        <v>HHH</v>
      </c>
      <c r="B13" t="str" cm="1">
        <f t="array" ref="B13">IFERROR(INDEX('input player'!A:A, ROW()), "")</f>
        <v>HHHH</v>
      </c>
      <c r="C13" s="4">
        <v>0</v>
      </c>
      <c r="D13" s="8">
        <v>0</v>
      </c>
      <c r="E13" s="6">
        <f t="shared" si="0"/>
        <v>0</v>
      </c>
      <c r="F13" s="4">
        <f t="shared" si="1"/>
        <v>0</v>
      </c>
    </row>
    <row r="14" spans="1:6" x14ac:dyDescent="0.2">
      <c r="A14" t="str" cm="1">
        <f t="array" ref="A14">IFERROR(INDEX('input player'!B:B, ROW()), "")</f>
        <v>SSEE</v>
      </c>
      <c r="B14" t="str" cm="1">
        <f t="array" ref="B14">IFERROR(INDEX('input player'!A:A, ROW()), "")</f>
        <v>SSEE</v>
      </c>
      <c r="C14" s="4">
        <v>0</v>
      </c>
      <c r="D14" s="8">
        <v>0</v>
      </c>
      <c r="E14" s="6">
        <f t="shared" si="0"/>
        <v>0</v>
      </c>
      <c r="F14" s="4">
        <f t="shared" si="1"/>
        <v>0</v>
      </c>
    </row>
    <row r="15" spans="1:6" x14ac:dyDescent="0.2">
      <c r="A15" t="str" cm="1">
        <f t="array" ref="A15">IFERROR(INDEX('input player'!B:B, ROW()), "")</f>
        <v>RR</v>
      </c>
      <c r="B15" t="str" cm="1">
        <f t="array" ref="B15">IFERROR(INDEX('input player'!A:A, ROW()), "")</f>
        <v>rr</v>
      </c>
      <c r="C15" s="4">
        <v>0</v>
      </c>
      <c r="D15" s="8">
        <v>0</v>
      </c>
      <c r="E15" s="6">
        <f t="shared" si="0"/>
        <v>0</v>
      </c>
      <c r="F15" s="4">
        <f t="shared" si="1"/>
        <v>0</v>
      </c>
    </row>
    <row r="16" spans="1:6" x14ac:dyDescent="0.2">
      <c r="A16" t="str" cm="1">
        <f t="array" ref="A16">IFERROR(INDEX('input player'!B:B, ROW()), "")</f>
        <v>www</v>
      </c>
      <c r="B16" t="str" cm="1">
        <f t="array" ref="B16">IFERROR(INDEX('input player'!A:A, ROW()), "")</f>
        <v>wwww</v>
      </c>
      <c r="C16" s="4">
        <v>0</v>
      </c>
      <c r="D16" s="8">
        <v>0</v>
      </c>
      <c r="E16" s="6">
        <f t="shared" si="0"/>
        <v>0</v>
      </c>
      <c r="F16" s="4">
        <f t="shared" si="1"/>
        <v>0</v>
      </c>
    </row>
    <row r="17" spans="1:6" x14ac:dyDescent="0.2">
      <c r="A17" t="str" cm="1">
        <f t="array" ref="A17">IFERROR(INDEX('input player'!B:B, ROW()), "")</f>
        <v>ASFA</v>
      </c>
      <c r="B17" t="str" cm="1">
        <f t="array" ref="B17">IFERROR(INDEX('input player'!A:A, ROW()), "")</f>
        <v>asfasadsd</v>
      </c>
      <c r="C17" s="4">
        <v>0</v>
      </c>
      <c r="D17" s="8">
        <v>0</v>
      </c>
      <c r="E17" s="6">
        <f t="shared" si="0"/>
        <v>0</v>
      </c>
      <c r="F17" s="4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5C76-99A5-4AD9-8C83-02E0E10EBB14}">
  <sheetPr>
    <tabColor rgb="FF00B050"/>
  </sheetPr>
  <dimension ref="A1:F17"/>
  <sheetViews>
    <sheetView workbookViewId="0">
      <selection activeCell="E2" sqref="E2:E17"/>
    </sheetView>
  </sheetViews>
  <sheetFormatPr defaultRowHeight="14.25" x14ac:dyDescent="0.2"/>
  <sheetData>
    <row r="1" spans="1:6" ht="28.5" x14ac:dyDescent="0.2">
      <c r="A1" s="2" t="s">
        <v>73</v>
      </c>
      <c r="B1" s="2" t="s">
        <v>74</v>
      </c>
      <c r="C1" s="3" t="s">
        <v>80</v>
      </c>
      <c r="D1" s="7" t="s">
        <v>81</v>
      </c>
      <c r="E1" s="5" t="s">
        <v>82</v>
      </c>
      <c r="F1" s="3" t="s">
        <v>83</v>
      </c>
    </row>
    <row r="2" spans="1:6" x14ac:dyDescent="0.2">
      <c r="A2" t="str" cm="1">
        <f t="array" ref="A2">IFERROR(INDEX('input player'!B:B, ROW()), "")</f>
        <v>AWD</v>
      </c>
      <c r="B2" t="str" cm="1">
        <f t="array" ref="B2">IFERROR(INDEX('input player'!A:A, ROW()), "")</f>
        <v>Award</v>
      </c>
      <c r="C2" s="4">
        <v>0</v>
      </c>
      <c r="D2" s="8">
        <v>0</v>
      </c>
      <c r="E2" s="6">
        <f>IF(C2=0,0,
IF(C2=1,10,
IF(C2=2,6,
IF(C2=3,5,
IF(C2=4,4,
IF(C2=5,3,
IF(C2=6,2,
IF(OR(C2=7,C2=8),1,0))))))))</f>
        <v>0</v>
      </c>
      <c r="F2" s="4">
        <f xml:space="preserve"> D2 + E2</f>
        <v>0</v>
      </c>
    </row>
    <row r="3" spans="1:6" x14ac:dyDescent="0.2">
      <c r="A3" t="str" cm="1">
        <f t="array" ref="A3">IFERROR(INDEX('input player'!B:B, ROW()), "")</f>
        <v>BOS</v>
      </c>
      <c r="B3" t="str" cm="1">
        <f t="array" ref="B3">IFERROR(INDEX('input player'!A:A, ROW()), "")</f>
        <v>BOSS</v>
      </c>
      <c r="C3" s="4">
        <v>0</v>
      </c>
      <c r="D3" s="8">
        <v>0</v>
      </c>
      <c r="E3" s="6">
        <f t="shared" ref="E3:E17" si="0">IF(C3=0,0,
IF(C3=1,10,
IF(C3=2,6,
IF(C3=3,5,
IF(C3=4,4,
IF(C3=5,3,
IF(C3=6,2,
IF(OR(C3=7,C3=8),1,0))))))))</f>
        <v>0</v>
      </c>
      <c r="F3" s="4">
        <f t="shared" ref="F3:F17" si="1" xml:space="preserve"> D3 + E3</f>
        <v>0</v>
      </c>
    </row>
    <row r="4" spans="1:6" x14ac:dyDescent="0.2">
      <c r="A4" t="str" cm="1">
        <f t="array" ref="A4">IFERROR(INDEX('input player'!B:B, ROW()), "")</f>
        <v>NVD</v>
      </c>
      <c r="B4" t="str" cm="1">
        <f t="array" ref="B4">IFERROR(INDEX('input player'!A:A, ROW()), "")</f>
        <v>NerverDIe</v>
      </c>
      <c r="C4" s="4">
        <v>0</v>
      </c>
      <c r="D4" s="8">
        <v>0</v>
      </c>
      <c r="E4" s="6">
        <f t="shared" si="0"/>
        <v>0</v>
      </c>
      <c r="F4" s="4">
        <f t="shared" si="1"/>
        <v>0</v>
      </c>
    </row>
    <row r="5" spans="1:6" x14ac:dyDescent="0.2">
      <c r="A5" t="str" cm="1">
        <f t="array" ref="A5">IFERROR(INDEX('input player'!B:B, ROW()), "")</f>
        <v>SBD</v>
      </c>
      <c r="B5" t="str" cm="1">
        <f t="array" ref="B5">IFERROR(INDEX('input player'!A:A, ROW()), "")</f>
        <v>Skibidy</v>
      </c>
      <c r="C5" s="4">
        <v>0</v>
      </c>
      <c r="D5" s="8">
        <v>0</v>
      </c>
      <c r="E5" s="6">
        <f t="shared" si="0"/>
        <v>0</v>
      </c>
      <c r="F5" s="4">
        <f t="shared" si="1"/>
        <v>0</v>
      </c>
    </row>
    <row r="6" spans="1:6" x14ac:dyDescent="0.2">
      <c r="A6" t="str" cm="1">
        <f t="array" ref="A6">IFERROR(INDEX('input player'!B:B, ROW()), "")</f>
        <v>RD</v>
      </c>
      <c r="B6" t="str" cm="1">
        <f t="array" ref="B6">IFERROR(INDEX('input player'!A:A, ROW()), "")</f>
        <v>Raddom</v>
      </c>
      <c r="C6" s="4">
        <v>0</v>
      </c>
      <c r="D6" s="8">
        <v>0</v>
      </c>
      <c r="E6" s="6">
        <f t="shared" si="0"/>
        <v>0</v>
      </c>
      <c r="F6" s="4">
        <f t="shared" si="1"/>
        <v>0</v>
      </c>
    </row>
    <row r="7" spans="1:6" x14ac:dyDescent="0.2">
      <c r="A7" t="str" cm="1">
        <f t="array" ref="A7">IFERROR(INDEX('input player'!B:B, ROW()), "")</f>
        <v>SSRS</v>
      </c>
      <c r="B7" t="str" cm="1">
        <f t="array" ref="B7">IFERROR(INDEX('input player'!A:A, ROW()), "")</f>
        <v>SaSaRaSa</v>
      </c>
      <c r="C7" s="4">
        <v>0</v>
      </c>
      <c r="D7" s="8">
        <v>0</v>
      </c>
      <c r="E7" s="6">
        <f t="shared" si="0"/>
        <v>0</v>
      </c>
      <c r="F7" s="4">
        <f t="shared" si="1"/>
        <v>0</v>
      </c>
    </row>
    <row r="8" spans="1:6" x14ac:dyDescent="0.2">
      <c r="A8" t="str" cm="1">
        <f t="array" ref="A8">IFERROR(INDEX('input player'!B:B, ROW()), "")</f>
        <v>OP</v>
      </c>
      <c r="B8" t="str" cm="1">
        <f t="array" ref="B8">IFERROR(INDEX('input player'!A:A, ROW()), "")</f>
        <v>Onpara</v>
      </c>
      <c r="C8" s="4">
        <v>0</v>
      </c>
      <c r="D8" s="8">
        <v>0</v>
      </c>
      <c r="E8" s="6">
        <f t="shared" si="0"/>
        <v>0</v>
      </c>
      <c r="F8" s="4">
        <f t="shared" si="1"/>
        <v>0</v>
      </c>
    </row>
    <row r="9" spans="1:6" x14ac:dyDescent="0.2">
      <c r="A9" t="str" cm="1">
        <f t="array" ref="A9">IFERROR(INDEX('input player'!B:B, ROW()), "")</f>
        <v>NX</v>
      </c>
      <c r="B9" t="str" cm="1">
        <f t="array" ref="B9">IFERROR(INDEX('input player'!A:A, ROW()), "")</f>
        <v>NoXe</v>
      </c>
      <c r="C9" s="4">
        <v>0</v>
      </c>
      <c r="D9" s="8">
        <v>0</v>
      </c>
      <c r="E9" s="6">
        <f t="shared" si="0"/>
        <v>0</v>
      </c>
      <c r="F9" s="4">
        <f t="shared" si="1"/>
        <v>0</v>
      </c>
    </row>
    <row r="10" spans="1:6" x14ac:dyDescent="0.2">
      <c r="A10" t="str" cm="1">
        <f t="array" ref="A10">IFERROR(INDEX('input player'!B:B, ROW()), "")</f>
        <v>SBZ</v>
      </c>
      <c r="B10" t="str" cm="1">
        <f t="array" ref="B10">IFERROR(INDEX('input player'!A:A, ROW()), "")</f>
        <v>SEEBRAZ</v>
      </c>
      <c r="C10" s="4">
        <v>0</v>
      </c>
      <c r="D10" s="8">
        <v>0</v>
      </c>
      <c r="E10" s="6">
        <f t="shared" si="0"/>
        <v>0</v>
      </c>
      <c r="F10" s="4">
        <f t="shared" si="1"/>
        <v>0</v>
      </c>
    </row>
    <row r="11" spans="1:6" x14ac:dyDescent="0.2">
      <c r="A11" t="str" cm="1">
        <f t="array" ref="A11">IFERROR(INDEX('input player'!B:B, ROW()), "")</f>
        <v>FF</v>
      </c>
      <c r="B11" t="str" cm="1">
        <f t="array" ref="B11">IFERROR(INDEX('input player'!A:A, ROW()), "")</f>
        <v>ff</v>
      </c>
      <c r="C11" s="4">
        <v>0</v>
      </c>
      <c r="D11" s="8">
        <v>0</v>
      </c>
      <c r="E11" s="6">
        <f t="shared" si="0"/>
        <v>0</v>
      </c>
      <c r="F11" s="4">
        <f t="shared" si="1"/>
        <v>0</v>
      </c>
    </row>
    <row r="12" spans="1:6" x14ac:dyDescent="0.2">
      <c r="A12" t="str" cm="1">
        <f t="array" ref="A12">IFERROR(INDEX('input player'!B:B, ROW()), "")</f>
        <v>SDF</v>
      </c>
      <c r="B12" t="str" cm="1">
        <f t="array" ref="B12">IFERROR(INDEX('input player'!A:A, ROW()), "")</f>
        <v>sdfsdf</v>
      </c>
      <c r="C12" s="4">
        <v>0</v>
      </c>
      <c r="D12" s="8">
        <v>0</v>
      </c>
      <c r="E12" s="6">
        <f t="shared" si="0"/>
        <v>0</v>
      </c>
      <c r="F12" s="4">
        <f t="shared" si="1"/>
        <v>0</v>
      </c>
    </row>
    <row r="13" spans="1:6" x14ac:dyDescent="0.2">
      <c r="A13" t="str" cm="1">
        <f t="array" ref="A13">IFERROR(INDEX('input player'!B:B, ROW()), "")</f>
        <v>HHH</v>
      </c>
      <c r="B13" t="str" cm="1">
        <f t="array" ref="B13">IFERROR(INDEX('input player'!A:A, ROW()), "")</f>
        <v>HHHH</v>
      </c>
      <c r="C13" s="4">
        <v>0</v>
      </c>
      <c r="D13" s="8">
        <v>0</v>
      </c>
      <c r="E13" s="6">
        <f t="shared" si="0"/>
        <v>0</v>
      </c>
      <c r="F13" s="4">
        <f t="shared" si="1"/>
        <v>0</v>
      </c>
    </row>
    <row r="14" spans="1:6" x14ac:dyDescent="0.2">
      <c r="A14" t="str" cm="1">
        <f t="array" ref="A14">IFERROR(INDEX('input player'!B:B, ROW()), "")</f>
        <v>SSEE</v>
      </c>
      <c r="B14" t="str" cm="1">
        <f t="array" ref="B14">IFERROR(INDEX('input player'!A:A, ROW()), "")</f>
        <v>SSEE</v>
      </c>
      <c r="C14" s="4">
        <v>0</v>
      </c>
      <c r="D14" s="8">
        <v>0</v>
      </c>
      <c r="E14" s="6">
        <f t="shared" si="0"/>
        <v>0</v>
      </c>
      <c r="F14" s="4">
        <f t="shared" si="1"/>
        <v>0</v>
      </c>
    </row>
    <row r="15" spans="1:6" x14ac:dyDescent="0.2">
      <c r="A15" t="str" cm="1">
        <f t="array" ref="A15">IFERROR(INDEX('input player'!B:B, ROW()), "")</f>
        <v>RR</v>
      </c>
      <c r="B15" t="str" cm="1">
        <f t="array" ref="B15">IFERROR(INDEX('input player'!A:A, ROW()), "")</f>
        <v>rr</v>
      </c>
      <c r="C15" s="4">
        <v>0</v>
      </c>
      <c r="D15" s="8">
        <v>0</v>
      </c>
      <c r="E15" s="6">
        <f t="shared" si="0"/>
        <v>0</v>
      </c>
      <c r="F15" s="4">
        <f t="shared" si="1"/>
        <v>0</v>
      </c>
    </row>
    <row r="16" spans="1:6" x14ac:dyDescent="0.2">
      <c r="A16" t="str" cm="1">
        <f t="array" ref="A16">IFERROR(INDEX('input player'!B:B, ROW()), "")</f>
        <v>www</v>
      </c>
      <c r="B16" t="str" cm="1">
        <f t="array" ref="B16">IFERROR(INDEX('input player'!A:A, ROW()), "")</f>
        <v>wwww</v>
      </c>
      <c r="C16" s="4">
        <v>0</v>
      </c>
      <c r="D16" s="8">
        <v>0</v>
      </c>
      <c r="E16" s="6">
        <f t="shared" si="0"/>
        <v>0</v>
      </c>
      <c r="F16" s="4">
        <f t="shared" si="1"/>
        <v>0</v>
      </c>
    </row>
    <row r="17" spans="1:6" x14ac:dyDescent="0.2">
      <c r="A17" t="str" cm="1">
        <f t="array" ref="A17">IFERROR(INDEX('input player'!B:B, ROW()), "")</f>
        <v>ASFA</v>
      </c>
      <c r="B17" t="str" cm="1">
        <f t="array" ref="B17">IFERROR(INDEX('input player'!A:A, ROW()), "")</f>
        <v>asfasadsd</v>
      </c>
      <c r="C17" s="4">
        <v>0</v>
      </c>
      <c r="D17" s="8">
        <v>0</v>
      </c>
      <c r="E17" s="6">
        <f t="shared" si="0"/>
        <v>0</v>
      </c>
      <c r="F17" s="4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2959-FE36-4494-825D-756339F33581}">
  <sheetPr>
    <tabColor rgb="FF00B050"/>
  </sheetPr>
  <dimension ref="A1:F17"/>
  <sheetViews>
    <sheetView workbookViewId="0">
      <selection activeCell="E2" sqref="E2:E17"/>
    </sheetView>
  </sheetViews>
  <sheetFormatPr defaultRowHeight="14.25" x14ac:dyDescent="0.2"/>
  <sheetData>
    <row r="1" spans="1:6" ht="28.5" x14ac:dyDescent="0.2">
      <c r="A1" s="2" t="s">
        <v>73</v>
      </c>
      <c r="B1" s="2" t="s">
        <v>74</v>
      </c>
      <c r="C1" s="3" t="s">
        <v>80</v>
      </c>
      <c r="D1" s="7" t="s">
        <v>81</v>
      </c>
      <c r="E1" s="5" t="s">
        <v>82</v>
      </c>
      <c r="F1" s="3" t="s">
        <v>83</v>
      </c>
    </row>
    <row r="2" spans="1:6" x14ac:dyDescent="0.2">
      <c r="A2" t="str" cm="1">
        <f t="array" ref="A2">IFERROR(INDEX('input player'!B:B, ROW()), "")</f>
        <v>AWD</v>
      </c>
      <c r="B2" t="str" cm="1">
        <f t="array" ref="B2">IFERROR(INDEX('input player'!A:A, ROW()), "")</f>
        <v>Award</v>
      </c>
      <c r="C2" s="4">
        <v>0</v>
      </c>
      <c r="D2" s="8">
        <v>0</v>
      </c>
      <c r="E2" s="6">
        <f>IF(C2=0,0,
IF(C2=1,10,
IF(C2=2,6,
IF(C2=3,5,
IF(C2=4,4,
IF(C2=5,3,
IF(C2=6,2,
IF(OR(C2=7,C2=8),1,0))))))))</f>
        <v>0</v>
      </c>
      <c r="F2" s="4">
        <f xml:space="preserve"> D2 + E2</f>
        <v>0</v>
      </c>
    </row>
    <row r="3" spans="1:6" x14ac:dyDescent="0.2">
      <c r="A3" t="str" cm="1">
        <f t="array" ref="A3">IFERROR(INDEX('input player'!B:B, ROW()), "")</f>
        <v>BOS</v>
      </c>
      <c r="B3" t="str" cm="1">
        <f t="array" ref="B3">IFERROR(INDEX('input player'!A:A, ROW()), "")</f>
        <v>BOSS</v>
      </c>
      <c r="C3" s="4">
        <v>0</v>
      </c>
      <c r="D3" s="8">
        <v>0</v>
      </c>
      <c r="E3" s="6">
        <f t="shared" ref="E3:E17" si="0">IF(C3=0,0,
IF(C3=1,10,
IF(C3=2,6,
IF(C3=3,5,
IF(C3=4,4,
IF(C3=5,3,
IF(C3=6,2,
IF(OR(C3=7,C3=8),1,0))))))))</f>
        <v>0</v>
      </c>
      <c r="F3" s="4">
        <f t="shared" ref="F3:F17" si="1" xml:space="preserve"> D3 + E3</f>
        <v>0</v>
      </c>
    </row>
    <row r="4" spans="1:6" x14ac:dyDescent="0.2">
      <c r="A4" t="str" cm="1">
        <f t="array" ref="A4">IFERROR(INDEX('input player'!B:B, ROW()), "")</f>
        <v>NVD</v>
      </c>
      <c r="B4" t="str" cm="1">
        <f t="array" ref="B4">IFERROR(INDEX('input player'!A:A, ROW()), "")</f>
        <v>NerverDIe</v>
      </c>
      <c r="C4" s="4">
        <v>0</v>
      </c>
      <c r="D4" s="8">
        <v>0</v>
      </c>
      <c r="E4" s="6">
        <f t="shared" si="0"/>
        <v>0</v>
      </c>
      <c r="F4" s="4">
        <f t="shared" si="1"/>
        <v>0</v>
      </c>
    </row>
    <row r="5" spans="1:6" x14ac:dyDescent="0.2">
      <c r="A5" t="str" cm="1">
        <f t="array" ref="A5">IFERROR(INDEX('input player'!B:B, ROW()), "")</f>
        <v>SBD</v>
      </c>
      <c r="B5" t="str" cm="1">
        <f t="array" ref="B5">IFERROR(INDEX('input player'!A:A, ROW()), "")</f>
        <v>Skibidy</v>
      </c>
      <c r="C5" s="4">
        <v>0</v>
      </c>
      <c r="D5" s="8">
        <v>0</v>
      </c>
      <c r="E5" s="6">
        <f t="shared" si="0"/>
        <v>0</v>
      </c>
      <c r="F5" s="4">
        <f t="shared" si="1"/>
        <v>0</v>
      </c>
    </row>
    <row r="6" spans="1:6" x14ac:dyDescent="0.2">
      <c r="A6" t="str" cm="1">
        <f t="array" ref="A6">IFERROR(INDEX('input player'!B:B, ROW()), "")</f>
        <v>RD</v>
      </c>
      <c r="B6" t="str" cm="1">
        <f t="array" ref="B6">IFERROR(INDEX('input player'!A:A, ROW()), "")</f>
        <v>Raddom</v>
      </c>
      <c r="C6" s="4">
        <v>0</v>
      </c>
      <c r="D6" s="8">
        <v>0</v>
      </c>
      <c r="E6" s="6">
        <f t="shared" si="0"/>
        <v>0</v>
      </c>
      <c r="F6" s="4">
        <f t="shared" si="1"/>
        <v>0</v>
      </c>
    </row>
    <row r="7" spans="1:6" x14ac:dyDescent="0.2">
      <c r="A7" t="str" cm="1">
        <f t="array" ref="A7">IFERROR(INDEX('input player'!B:B, ROW()), "")</f>
        <v>SSRS</v>
      </c>
      <c r="B7" t="str" cm="1">
        <f t="array" ref="B7">IFERROR(INDEX('input player'!A:A, ROW()), "")</f>
        <v>SaSaRaSa</v>
      </c>
      <c r="C7" s="4">
        <v>0</v>
      </c>
      <c r="D7" s="8">
        <v>0</v>
      </c>
      <c r="E7" s="6">
        <f t="shared" si="0"/>
        <v>0</v>
      </c>
      <c r="F7" s="4">
        <f t="shared" si="1"/>
        <v>0</v>
      </c>
    </row>
    <row r="8" spans="1:6" x14ac:dyDescent="0.2">
      <c r="A8" t="str" cm="1">
        <f t="array" ref="A8">IFERROR(INDEX('input player'!B:B, ROW()), "")</f>
        <v>OP</v>
      </c>
      <c r="B8" t="str" cm="1">
        <f t="array" ref="B8">IFERROR(INDEX('input player'!A:A, ROW()), "")</f>
        <v>Onpara</v>
      </c>
      <c r="C8" s="4">
        <v>0</v>
      </c>
      <c r="D8" s="8">
        <v>0</v>
      </c>
      <c r="E8" s="6">
        <f t="shared" si="0"/>
        <v>0</v>
      </c>
      <c r="F8" s="4">
        <f t="shared" si="1"/>
        <v>0</v>
      </c>
    </row>
    <row r="9" spans="1:6" x14ac:dyDescent="0.2">
      <c r="A9" t="str" cm="1">
        <f t="array" ref="A9">IFERROR(INDEX('input player'!B:B, ROW()), "")</f>
        <v>NX</v>
      </c>
      <c r="B9" t="str" cm="1">
        <f t="array" ref="B9">IFERROR(INDEX('input player'!A:A, ROW()), "")</f>
        <v>NoXe</v>
      </c>
      <c r="C9" s="4">
        <v>0</v>
      </c>
      <c r="D9" s="8">
        <v>0</v>
      </c>
      <c r="E9" s="6">
        <f t="shared" si="0"/>
        <v>0</v>
      </c>
      <c r="F9" s="4">
        <f t="shared" si="1"/>
        <v>0</v>
      </c>
    </row>
    <row r="10" spans="1:6" x14ac:dyDescent="0.2">
      <c r="A10" t="str" cm="1">
        <f t="array" ref="A10">IFERROR(INDEX('input player'!B:B, ROW()), "")</f>
        <v>SBZ</v>
      </c>
      <c r="B10" t="str" cm="1">
        <f t="array" ref="B10">IFERROR(INDEX('input player'!A:A, ROW()), "")</f>
        <v>SEEBRAZ</v>
      </c>
      <c r="C10" s="4">
        <v>0</v>
      </c>
      <c r="D10" s="8">
        <v>0</v>
      </c>
      <c r="E10" s="6">
        <f t="shared" si="0"/>
        <v>0</v>
      </c>
      <c r="F10" s="4">
        <f t="shared" si="1"/>
        <v>0</v>
      </c>
    </row>
    <row r="11" spans="1:6" x14ac:dyDescent="0.2">
      <c r="A11" t="str" cm="1">
        <f t="array" ref="A11">IFERROR(INDEX('input player'!B:B, ROW()), "")</f>
        <v>FF</v>
      </c>
      <c r="B11" t="str" cm="1">
        <f t="array" ref="B11">IFERROR(INDEX('input player'!A:A, ROW()), "")</f>
        <v>ff</v>
      </c>
      <c r="C11" s="4">
        <v>0</v>
      </c>
      <c r="D11" s="8">
        <v>0</v>
      </c>
      <c r="E11" s="6">
        <f t="shared" si="0"/>
        <v>0</v>
      </c>
      <c r="F11" s="4">
        <f t="shared" si="1"/>
        <v>0</v>
      </c>
    </row>
    <row r="12" spans="1:6" x14ac:dyDescent="0.2">
      <c r="A12" t="str" cm="1">
        <f t="array" ref="A12">IFERROR(INDEX('input player'!B:B, ROW()), "")</f>
        <v>SDF</v>
      </c>
      <c r="B12" t="str" cm="1">
        <f t="array" ref="B12">IFERROR(INDEX('input player'!A:A, ROW()), "")</f>
        <v>sdfsdf</v>
      </c>
      <c r="C12" s="4">
        <v>0</v>
      </c>
      <c r="D12" s="8">
        <v>0</v>
      </c>
      <c r="E12" s="6">
        <f t="shared" si="0"/>
        <v>0</v>
      </c>
      <c r="F12" s="4">
        <f t="shared" si="1"/>
        <v>0</v>
      </c>
    </row>
    <row r="13" spans="1:6" x14ac:dyDescent="0.2">
      <c r="A13" t="str" cm="1">
        <f t="array" ref="A13">IFERROR(INDEX('input player'!B:B, ROW()), "")</f>
        <v>HHH</v>
      </c>
      <c r="B13" t="str" cm="1">
        <f t="array" ref="B13">IFERROR(INDEX('input player'!A:A, ROW()), "")</f>
        <v>HHHH</v>
      </c>
      <c r="C13" s="4">
        <v>0</v>
      </c>
      <c r="D13" s="8">
        <v>0</v>
      </c>
      <c r="E13" s="6">
        <f t="shared" si="0"/>
        <v>0</v>
      </c>
      <c r="F13" s="4">
        <f t="shared" si="1"/>
        <v>0</v>
      </c>
    </row>
    <row r="14" spans="1:6" x14ac:dyDescent="0.2">
      <c r="A14" t="str" cm="1">
        <f t="array" ref="A14">IFERROR(INDEX('input player'!B:B, ROW()), "")</f>
        <v>SSEE</v>
      </c>
      <c r="B14" t="str" cm="1">
        <f t="array" ref="B14">IFERROR(INDEX('input player'!A:A, ROW()), "")</f>
        <v>SSEE</v>
      </c>
      <c r="C14" s="4">
        <v>0</v>
      </c>
      <c r="D14" s="8">
        <v>0</v>
      </c>
      <c r="E14" s="6">
        <f t="shared" si="0"/>
        <v>0</v>
      </c>
      <c r="F14" s="4">
        <f t="shared" si="1"/>
        <v>0</v>
      </c>
    </row>
    <row r="15" spans="1:6" x14ac:dyDescent="0.2">
      <c r="A15" t="str" cm="1">
        <f t="array" ref="A15">IFERROR(INDEX('input player'!B:B, ROW()), "")</f>
        <v>RR</v>
      </c>
      <c r="B15" t="str" cm="1">
        <f t="array" ref="B15">IFERROR(INDEX('input player'!A:A, ROW()), "")</f>
        <v>rr</v>
      </c>
      <c r="C15" s="4">
        <v>0</v>
      </c>
      <c r="D15" s="8">
        <v>0</v>
      </c>
      <c r="E15" s="6">
        <f t="shared" si="0"/>
        <v>0</v>
      </c>
      <c r="F15" s="4">
        <f t="shared" si="1"/>
        <v>0</v>
      </c>
    </row>
    <row r="16" spans="1:6" x14ac:dyDescent="0.2">
      <c r="A16" t="str" cm="1">
        <f t="array" ref="A16">IFERROR(INDEX('input player'!B:B, ROW()), "")</f>
        <v>www</v>
      </c>
      <c r="B16" t="str" cm="1">
        <f t="array" ref="B16">IFERROR(INDEX('input player'!A:A, ROW()), "")</f>
        <v>wwww</v>
      </c>
      <c r="C16" s="4">
        <v>0</v>
      </c>
      <c r="D16" s="8">
        <v>0</v>
      </c>
      <c r="E16" s="6">
        <f t="shared" si="0"/>
        <v>0</v>
      </c>
      <c r="F16" s="4">
        <f t="shared" si="1"/>
        <v>0</v>
      </c>
    </row>
    <row r="17" spans="1:6" x14ac:dyDescent="0.2">
      <c r="A17" t="str" cm="1">
        <f t="array" ref="A17">IFERROR(INDEX('input player'!B:B, ROW()), "")</f>
        <v>ASFA</v>
      </c>
      <c r="B17" t="str" cm="1">
        <f t="array" ref="B17">IFERROR(INDEX('input player'!A:A, ROW()), "")</f>
        <v>asfasadsd</v>
      </c>
      <c r="C17" s="4">
        <v>0</v>
      </c>
      <c r="D17" s="8">
        <v>0</v>
      </c>
      <c r="E17" s="6">
        <f t="shared" si="0"/>
        <v>0</v>
      </c>
      <c r="F17" s="4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1BC00-A3EB-4C23-930F-F8D2E1A305A2}">
  <sheetPr>
    <tabColor theme="6" tint="-0.249977111117893"/>
  </sheetPr>
  <dimension ref="A1:F17"/>
  <sheetViews>
    <sheetView workbookViewId="0">
      <selection activeCell="I23" sqref="I23"/>
    </sheetView>
  </sheetViews>
  <sheetFormatPr defaultRowHeight="14.25" x14ac:dyDescent="0.2"/>
  <sheetData>
    <row r="1" spans="1:6" ht="28.5" x14ac:dyDescent="0.2">
      <c r="A1" s="2" t="s">
        <v>73</v>
      </c>
      <c r="B1" s="2" t="s">
        <v>74</v>
      </c>
      <c r="C1" s="3" t="s">
        <v>80</v>
      </c>
      <c r="D1" s="7" t="s">
        <v>81</v>
      </c>
      <c r="E1" s="5" t="s">
        <v>82</v>
      </c>
      <c r="F1" s="3" t="s">
        <v>83</v>
      </c>
    </row>
    <row r="2" spans="1:6" x14ac:dyDescent="0.2">
      <c r="A2" t="str" cm="1">
        <f t="array" ref="A2">IFERROR(INDEX('input player'!B:B, ROW()), "")</f>
        <v>AWD</v>
      </c>
      <c r="B2" t="str" cm="1">
        <f t="array" ref="B2">IFERROR(INDEX('input player'!A:A, ROW()), "")</f>
        <v>Award</v>
      </c>
      <c r="C2" s="4">
        <v>0</v>
      </c>
      <c r="D2" s="8">
        <v>0</v>
      </c>
      <c r="E2" s="6">
        <f>IF(C2=0,0,
IF(C2=1,10,
IF(C2=2,6,
IF(C2=3,5,
IF(C2=4,4,
IF(C2=5,3,
IF(C2=6,2,
IF(OR(C2=7,C2=8),1,0))))))))</f>
        <v>0</v>
      </c>
      <c r="F2" s="4">
        <f xml:space="preserve"> D2 + E2</f>
        <v>0</v>
      </c>
    </row>
    <row r="3" spans="1:6" x14ac:dyDescent="0.2">
      <c r="A3" t="str" cm="1">
        <f t="array" ref="A3">IFERROR(INDEX('input player'!B:B, ROW()), "")</f>
        <v>BOS</v>
      </c>
      <c r="B3" t="str" cm="1">
        <f t="array" ref="B3">IFERROR(INDEX('input player'!A:A, ROW()), "")</f>
        <v>BOSS</v>
      </c>
      <c r="C3" s="4">
        <v>0</v>
      </c>
      <c r="D3" s="8">
        <v>0</v>
      </c>
      <c r="E3" s="6">
        <f t="shared" ref="E3:E17" si="0">IF(C3=0,0,
IF(C3=1,10,
IF(C3=2,6,
IF(C3=3,5,
IF(C3=4,4,
IF(C3=5,3,
IF(C3=6,2,
IF(OR(C3=7,C3=8),1,0))))))))</f>
        <v>0</v>
      </c>
      <c r="F3" s="4">
        <f t="shared" ref="F3:F17" si="1" xml:space="preserve"> D3 + E3</f>
        <v>0</v>
      </c>
    </row>
    <row r="4" spans="1:6" x14ac:dyDescent="0.2">
      <c r="A4" t="str" cm="1">
        <f t="array" ref="A4">IFERROR(INDEX('input player'!B:B, ROW()), "")</f>
        <v>NVD</v>
      </c>
      <c r="B4" t="str" cm="1">
        <f t="array" ref="B4">IFERROR(INDEX('input player'!A:A, ROW()), "")</f>
        <v>NerverDIe</v>
      </c>
      <c r="C4" s="4">
        <v>0</v>
      </c>
      <c r="D4" s="8">
        <v>0</v>
      </c>
      <c r="E4" s="6">
        <f t="shared" si="0"/>
        <v>0</v>
      </c>
      <c r="F4" s="4">
        <f t="shared" si="1"/>
        <v>0</v>
      </c>
    </row>
    <row r="5" spans="1:6" x14ac:dyDescent="0.2">
      <c r="A5" t="str" cm="1">
        <f t="array" ref="A5">IFERROR(INDEX('input player'!B:B, ROW()), "")</f>
        <v>SBD</v>
      </c>
      <c r="B5" t="str" cm="1">
        <f t="array" ref="B5">IFERROR(INDEX('input player'!A:A, ROW()), "")</f>
        <v>Skibidy</v>
      </c>
      <c r="C5" s="4">
        <v>0</v>
      </c>
      <c r="D5" s="8">
        <v>0</v>
      </c>
      <c r="E5" s="6">
        <f t="shared" si="0"/>
        <v>0</v>
      </c>
      <c r="F5" s="4">
        <f t="shared" si="1"/>
        <v>0</v>
      </c>
    </row>
    <row r="6" spans="1:6" x14ac:dyDescent="0.2">
      <c r="A6" t="str" cm="1">
        <f t="array" ref="A6">IFERROR(INDEX('input player'!B:B, ROW()), "")</f>
        <v>RD</v>
      </c>
      <c r="B6" t="str" cm="1">
        <f t="array" ref="B6">IFERROR(INDEX('input player'!A:A, ROW()), "")</f>
        <v>Raddom</v>
      </c>
      <c r="C6" s="4">
        <v>0</v>
      </c>
      <c r="D6" s="8">
        <v>0</v>
      </c>
      <c r="E6" s="6">
        <f t="shared" si="0"/>
        <v>0</v>
      </c>
      <c r="F6" s="4">
        <f t="shared" si="1"/>
        <v>0</v>
      </c>
    </row>
    <row r="7" spans="1:6" x14ac:dyDescent="0.2">
      <c r="A7" t="str" cm="1">
        <f t="array" ref="A7">IFERROR(INDEX('input player'!B:B, ROW()), "")</f>
        <v>SSRS</v>
      </c>
      <c r="B7" t="str" cm="1">
        <f t="array" ref="B7">IFERROR(INDEX('input player'!A:A, ROW()), "")</f>
        <v>SaSaRaSa</v>
      </c>
      <c r="C7" s="4">
        <v>0</v>
      </c>
      <c r="D7" s="8">
        <v>0</v>
      </c>
      <c r="E7" s="6">
        <f t="shared" si="0"/>
        <v>0</v>
      </c>
      <c r="F7" s="4">
        <f t="shared" si="1"/>
        <v>0</v>
      </c>
    </row>
    <row r="8" spans="1:6" x14ac:dyDescent="0.2">
      <c r="A8" t="str" cm="1">
        <f t="array" ref="A8">IFERROR(INDEX('input player'!B:B, ROW()), "")</f>
        <v>OP</v>
      </c>
      <c r="B8" t="str" cm="1">
        <f t="array" ref="B8">IFERROR(INDEX('input player'!A:A, ROW()), "")</f>
        <v>Onpara</v>
      </c>
      <c r="C8" s="4">
        <v>0</v>
      </c>
      <c r="D8" s="8">
        <v>0</v>
      </c>
      <c r="E8" s="6">
        <f t="shared" si="0"/>
        <v>0</v>
      </c>
      <c r="F8" s="4">
        <f t="shared" si="1"/>
        <v>0</v>
      </c>
    </row>
    <row r="9" spans="1:6" x14ac:dyDescent="0.2">
      <c r="A9" t="str" cm="1">
        <f t="array" ref="A9">IFERROR(INDEX('input player'!B:B, ROW()), "")</f>
        <v>NX</v>
      </c>
      <c r="B9" t="str" cm="1">
        <f t="array" ref="B9">IFERROR(INDEX('input player'!A:A, ROW()), "")</f>
        <v>NoXe</v>
      </c>
      <c r="C9" s="4">
        <v>0</v>
      </c>
      <c r="D9" s="8">
        <v>0</v>
      </c>
      <c r="E9" s="6">
        <f t="shared" si="0"/>
        <v>0</v>
      </c>
      <c r="F9" s="4">
        <f t="shared" si="1"/>
        <v>0</v>
      </c>
    </row>
    <row r="10" spans="1:6" x14ac:dyDescent="0.2">
      <c r="A10" t="str" cm="1">
        <f t="array" ref="A10">IFERROR(INDEX('input player'!B:B, ROW()), "")</f>
        <v>SBZ</v>
      </c>
      <c r="B10" t="str" cm="1">
        <f t="array" ref="B10">IFERROR(INDEX('input player'!A:A, ROW()), "")</f>
        <v>SEEBRAZ</v>
      </c>
      <c r="C10" s="4">
        <v>0</v>
      </c>
      <c r="D10" s="8">
        <v>0</v>
      </c>
      <c r="E10" s="6">
        <f t="shared" si="0"/>
        <v>0</v>
      </c>
      <c r="F10" s="4">
        <f t="shared" si="1"/>
        <v>0</v>
      </c>
    </row>
    <row r="11" spans="1:6" x14ac:dyDescent="0.2">
      <c r="A11" t="str" cm="1">
        <f t="array" ref="A11">IFERROR(INDEX('input player'!B:B, ROW()), "")</f>
        <v>FF</v>
      </c>
      <c r="B11" t="str" cm="1">
        <f t="array" ref="B11">IFERROR(INDEX('input player'!A:A, ROW()), "")</f>
        <v>ff</v>
      </c>
      <c r="C11" s="4">
        <v>0</v>
      </c>
      <c r="D11" s="8">
        <v>0</v>
      </c>
      <c r="E11" s="6">
        <f t="shared" si="0"/>
        <v>0</v>
      </c>
      <c r="F11" s="4">
        <f t="shared" si="1"/>
        <v>0</v>
      </c>
    </row>
    <row r="12" spans="1:6" x14ac:dyDescent="0.2">
      <c r="A12" t="str" cm="1">
        <f t="array" ref="A12">IFERROR(INDEX('input player'!B:B, ROW()), "")</f>
        <v>SDF</v>
      </c>
      <c r="B12" t="str" cm="1">
        <f t="array" ref="B12">IFERROR(INDEX('input player'!A:A, ROW()), "")</f>
        <v>sdfsdf</v>
      </c>
      <c r="C12" s="4">
        <v>0</v>
      </c>
      <c r="D12" s="8">
        <v>0</v>
      </c>
      <c r="E12" s="6">
        <f t="shared" si="0"/>
        <v>0</v>
      </c>
      <c r="F12" s="4">
        <f t="shared" si="1"/>
        <v>0</v>
      </c>
    </row>
    <row r="13" spans="1:6" x14ac:dyDescent="0.2">
      <c r="A13" t="str" cm="1">
        <f t="array" ref="A13">IFERROR(INDEX('input player'!B:B, ROW()), "")</f>
        <v>HHH</v>
      </c>
      <c r="B13" t="str" cm="1">
        <f t="array" ref="B13">IFERROR(INDEX('input player'!A:A, ROW()), "")</f>
        <v>HHHH</v>
      </c>
      <c r="C13" s="4">
        <v>0</v>
      </c>
      <c r="D13" s="8">
        <v>0</v>
      </c>
      <c r="E13" s="6">
        <f t="shared" si="0"/>
        <v>0</v>
      </c>
      <c r="F13" s="4">
        <f t="shared" si="1"/>
        <v>0</v>
      </c>
    </row>
    <row r="14" spans="1:6" x14ac:dyDescent="0.2">
      <c r="A14" t="str" cm="1">
        <f t="array" ref="A14">IFERROR(INDEX('input player'!B:B, ROW()), "")</f>
        <v>SSEE</v>
      </c>
      <c r="B14" t="str" cm="1">
        <f t="array" ref="B14">IFERROR(INDEX('input player'!A:A, ROW()), "")</f>
        <v>SSEE</v>
      </c>
      <c r="C14" s="4">
        <v>0</v>
      </c>
      <c r="D14" s="8">
        <v>0</v>
      </c>
      <c r="E14" s="6">
        <f t="shared" si="0"/>
        <v>0</v>
      </c>
      <c r="F14" s="4">
        <f t="shared" si="1"/>
        <v>0</v>
      </c>
    </row>
    <row r="15" spans="1:6" x14ac:dyDescent="0.2">
      <c r="A15" t="str" cm="1">
        <f t="array" ref="A15">IFERROR(INDEX('input player'!B:B, ROW()), "")</f>
        <v>RR</v>
      </c>
      <c r="B15" t="str" cm="1">
        <f t="array" ref="B15">IFERROR(INDEX('input player'!A:A, ROW()), "")</f>
        <v>rr</v>
      </c>
      <c r="C15" s="4">
        <v>0</v>
      </c>
      <c r="D15" s="8">
        <v>0</v>
      </c>
      <c r="E15" s="6">
        <f t="shared" si="0"/>
        <v>0</v>
      </c>
      <c r="F15" s="4">
        <f t="shared" si="1"/>
        <v>0</v>
      </c>
    </row>
    <row r="16" spans="1:6" x14ac:dyDescent="0.2">
      <c r="A16" t="str" cm="1">
        <f t="array" ref="A16">IFERROR(INDEX('input player'!B:B, ROW()), "")</f>
        <v>www</v>
      </c>
      <c r="B16" t="str" cm="1">
        <f t="array" ref="B16">IFERROR(INDEX('input player'!A:A, ROW()), "")</f>
        <v>wwww</v>
      </c>
      <c r="C16" s="4">
        <v>0</v>
      </c>
      <c r="D16" s="8">
        <v>0</v>
      </c>
      <c r="E16" s="6">
        <f t="shared" si="0"/>
        <v>0</v>
      </c>
      <c r="F16" s="4">
        <f t="shared" si="1"/>
        <v>0</v>
      </c>
    </row>
    <row r="17" spans="1:6" x14ac:dyDescent="0.2">
      <c r="A17" t="str" cm="1">
        <f t="array" ref="A17">IFERROR(INDEX('input player'!B:B, ROW()), "")</f>
        <v>ASFA</v>
      </c>
      <c r="B17" t="str" cm="1">
        <f t="array" ref="B17">IFERROR(INDEX('input player'!A:A, ROW()), "")</f>
        <v>asfasadsd</v>
      </c>
      <c r="C17" s="4">
        <v>0</v>
      </c>
      <c r="D17" s="8">
        <v>0</v>
      </c>
      <c r="E17" s="6">
        <f t="shared" si="0"/>
        <v>0</v>
      </c>
      <c r="F17" s="4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DE8D-4CE8-4886-968F-C4361C68163E}">
  <sheetPr>
    <tabColor theme="6" tint="-0.249977111117893"/>
  </sheetPr>
  <dimension ref="A1:F17"/>
  <sheetViews>
    <sheetView workbookViewId="0">
      <selection activeCell="I23" sqref="I23"/>
    </sheetView>
  </sheetViews>
  <sheetFormatPr defaultRowHeight="14.25" x14ac:dyDescent="0.2"/>
  <sheetData>
    <row r="1" spans="1:6" ht="28.5" x14ac:dyDescent="0.2">
      <c r="A1" s="2" t="s">
        <v>73</v>
      </c>
      <c r="B1" s="2" t="s">
        <v>74</v>
      </c>
      <c r="C1" s="3" t="s">
        <v>80</v>
      </c>
      <c r="D1" s="7" t="s">
        <v>81</v>
      </c>
      <c r="E1" s="5" t="s">
        <v>82</v>
      </c>
      <c r="F1" s="3" t="s">
        <v>83</v>
      </c>
    </row>
    <row r="2" spans="1:6" x14ac:dyDescent="0.2">
      <c r="A2" t="str" cm="1">
        <f t="array" ref="A2">IFERROR(INDEX('input player'!B:B, ROW()), "")</f>
        <v>AWD</v>
      </c>
      <c r="B2" t="str" cm="1">
        <f t="array" ref="B2">IFERROR(INDEX('input player'!A:A, ROW()), "")</f>
        <v>Award</v>
      </c>
      <c r="C2" s="4">
        <v>0</v>
      </c>
      <c r="D2" s="8">
        <v>0</v>
      </c>
      <c r="E2" s="6">
        <f>IF(C2=0,0,
IF(C2=1,10,
IF(C2=2,6,
IF(C2=3,5,
IF(C2=4,4,
IF(C2=5,3,
IF(C2=6,2,
IF(OR(C2=7,C2=8),1,0))))))))</f>
        <v>0</v>
      </c>
      <c r="F2" s="4">
        <f xml:space="preserve"> D2 + E2</f>
        <v>0</v>
      </c>
    </row>
    <row r="3" spans="1:6" x14ac:dyDescent="0.2">
      <c r="A3" t="str" cm="1">
        <f t="array" ref="A3">IFERROR(INDEX('input player'!B:B, ROW()), "")</f>
        <v>BOS</v>
      </c>
      <c r="B3" t="str" cm="1">
        <f t="array" ref="B3">IFERROR(INDEX('input player'!A:A, ROW()), "")</f>
        <v>BOSS</v>
      </c>
      <c r="C3" s="4">
        <v>0</v>
      </c>
      <c r="D3" s="8">
        <v>0</v>
      </c>
      <c r="E3" s="6">
        <f t="shared" ref="E3:E17" si="0">IF(C3=0,0,
IF(C3=1,10,
IF(C3=2,6,
IF(C3=3,5,
IF(C3=4,4,
IF(C3=5,3,
IF(C3=6,2,
IF(OR(C3=7,C3=8),1,0))))))))</f>
        <v>0</v>
      </c>
      <c r="F3" s="4">
        <f t="shared" ref="F3:F17" si="1" xml:space="preserve"> D3 + E3</f>
        <v>0</v>
      </c>
    </row>
    <row r="4" spans="1:6" x14ac:dyDescent="0.2">
      <c r="A4" t="str" cm="1">
        <f t="array" ref="A4">IFERROR(INDEX('input player'!B:B, ROW()), "")</f>
        <v>NVD</v>
      </c>
      <c r="B4" t="str" cm="1">
        <f t="array" ref="B4">IFERROR(INDEX('input player'!A:A, ROW()), "")</f>
        <v>NerverDIe</v>
      </c>
      <c r="C4" s="4">
        <v>0</v>
      </c>
      <c r="D4" s="8">
        <v>0</v>
      </c>
      <c r="E4" s="6">
        <f t="shared" si="0"/>
        <v>0</v>
      </c>
      <c r="F4" s="4">
        <f t="shared" si="1"/>
        <v>0</v>
      </c>
    </row>
    <row r="5" spans="1:6" x14ac:dyDescent="0.2">
      <c r="A5" t="str" cm="1">
        <f t="array" ref="A5">IFERROR(INDEX('input player'!B:B, ROW()), "")</f>
        <v>SBD</v>
      </c>
      <c r="B5" t="str" cm="1">
        <f t="array" ref="B5">IFERROR(INDEX('input player'!A:A, ROW()), "")</f>
        <v>Skibidy</v>
      </c>
      <c r="C5" s="4">
        <v>0</v>
      </c>
      <c r="D5" s="8">
        <v>0</v>
      </c>
      <c r="E5" s="6">
        <f t="shared" si="0"/>
        <v>0</v>
      </c>
      <c r="F5" s="4">
        <f t="shared" si="1"/>
        <v>0</v>
      </c>
    </row>
    <row r="6" spans="1:6" x14ac:dyDescent="0.2">
      <c r="A6" t="str" cm="1">
        <f t="array" ref="A6">IFERROR(INDEX('input player'!B:B, ROW()), "")</f>
        <v>RD</v>
      </c>
      <c r="B6" t="str" cm="1">
        <f t="array" ref="B6">IFERROR(INDEX('input player'!A:A, ROW()), "")</f>
        <v>Raddom</v>
      </c>
      <c r="C6" s="4">
        <v>0</v>
      </c>
      <c r="D6" s="8">
        <v>0</v>
      </c>
      <c r="E6" s="6">
        <f t="shared" si="0"/>
        <v>0</v>
      </c>
      <c r="F6" s="4">
        <f t="shared" si="1"/>
        <v>0</v>
      </c>
    </row>
    <row r="7" spans="1:6" x14ac:dyDescent="0.2">
      <c r="A7" t="str" cm="1">
        <f t="array" ref="A7">IFERROR(INDEX('input player'!B:B, ROW()), "")</f>
        <v>SSRS</v>
      </c>
      <c r="B7" t="str" cm="1">
        <f t="array" ref="B7">IFERROR(INDEX('input player'!A:A, ROW()), "")</f>
        <v>SaSaRaSa</v>
      </c>
      <c r="C7" s="4">
        <v>0</v>
      </c>
      <c r="D7" s="8">
        <v>0</v>
      </c>
      <c r="E7" s="6">
        <f t="shared" si="0"/>
        <v>0</v>
      </c>
      <c r="F7" s="4">
        <f t="shared" si="1"/>
        <v>0</v>
      </c>
    </row>
    <row r="8" spans="1:6" x14ac:dyDescent="0.2">
      <c r="A8" t="str" cm="1">
        <f t="array" ref="A8">IFERROR(INDEX('input player'!B:B, ROW()), "")</f>
        <v>OP</v>
      </c>
      <c r="B8" t="str" cm="1">
        <f t="array" ref="B8">IFERROR(INDEX('input player'!A:A, ROW()), "")</f>
        <v>Onpara</v>
      </c>
      <c r="C8" s="4">
        <v>0</v>
      </c>
      <c r="D8" s="8">
        <v>0</v>
      </c>
      <c r="E8" s="6">
        <f t="shared" si="0"/>
        <v>0</v>
      </c>
      <c r="F8" s="4">
        <f t="shared" si="1"/>
        <v>0</v>
      </c>
    </row>
    <row r="9" spans="1:6" x14ac:dyDescent="0.2">
      <c r="A9" t="str" cm="1">
        <f t="array" ref="A9">IFERROR(INDEX('input player'!B:B, ROW()), "")</f>
        <v>NX</v>
      </c>
      <c r="B9" t="str" cm="1">
        <f t="array" ref="B9">IFERROR(INDEX('input player'!A:A, ROW()), "")</f>
        <v>NoXe</v>
      </c>
      <c r="C9" s="4">
        <v>0</v>
      </c>
      <c r="D9" s="8">
        <v>0</v>
      </c>
      <c r="E9" s="6">
        <f t="shared" si="0"/>
        <v>0</v>
      </c>
      <c r="F9" s="4">
        <f t="shared" si="1"/>
        <v>0</v>
      </c>
    </row>
    <row r="10" spans="1:6" x14ac:dyDescent="0.2">
      <c r="A10" t="str" cm="1">
        <f t="array" ref="A10">IFERROR(INDEX('input player'!B:B, ROW()), "")</f>
        <v>SBZ</v>
      </c>
      <c r="B10" t="str" cm="1">
        <f t="array" ref="B10">IFERROR(INDEX('input player'!A:A, ROW()), "")</f>
        <v>SEEBRAZ</v>
      </c>
      <c r="C10" s="4">
        <v>0</v>
      </c>
      <c r="D10" s="8">
        <v>0</v>
      </c>
      <c r="E10" s="6">
        <f t="shared" si="0"/>
        <v>0</v>
      </c>
      <c r="F10" s="4">
        <f t="shared" si="1"/>
        <v>0</v>
      </c>
    </row>
    <row r="11" spans="1:6" x14ac:dyDescent="0.2">
      <c r="A11" t="str" cm="1">
        <f t="array" ref="A11">IFERROR(INDEX('input player'!B:B, ROW()), "")</f>
        <v>FF</v>
      </c>
      <c r="B11" t="str" cm="1">
        <f t="array" ref="B11">IFERROR(INDEX('input player'!A:A, ROW()), "")</f>
        <v>ff</v>
      </c>
      <c r="C11" s="4">
        <v>0</v>
      </c>
      <c r="D11" s="8">
        <v>0</v>
      </c>
      <c r="E11" s="6">
        <f t="shared" si="0"/>
        <v>0</v>
      </c>
      <c r="F11" s="4">
        <f t="shared" si="1"/>
        <v>0</v>
      </c>
    </row>
    <row r="12" spans="1:6" x14ac:dyDescent="0.2">
      <c r="A12" t="str" cm="1">
        <f t="array" ref="A12">IFERROR(INDEX('input player'!B:B, ROW()), "")</f>
        <v>SDF</v>
      </c>
      <c r="B12" t="str" cm="1">
        <f t="array" ref="B12">IFERROR(INDEX('input player'!A:A, ROW()), "")</f>
        <v>sdfsdf</v>
      </c>
      <c r="C12" s="4">
        <v>0</v>
      </c>
      <c r="D12" s="8">
        <v>0</v>
      </c>
      <c r="E12" s="6">
        <f t="shared" si="0"/>
        <v>0</v>
      </c>
      <c r="F12" s="4">
        <f t="shared" si="1"/>
        <v>0</v>
      </c>
    </row>
    <row r="13" spans="1:6" x14ac:dyDescent="0.2">
      <c r="A13" t="str" cm="1">
        <f t="array" ref="A13">IFERROR(INDEX('input player'!B:B, ROW()), "")</f>
        <v>HHH</v>
      </c>
      <c r="B13" t="str" cm="1">
        <f t="array" ref="B13">IFERROR(INDEX('input player'!A:A, ROW()), "")</f>
        <v>HHHH</v>
      </c>
      <c r="C13" s="4">
        <v>0</v>
      </c>
      <c r="D13" s="8">
        <v>0</v>
      </c>
      <c r="E13" s="6">
        <f t="shared" si="0"/>
        <v>0</v>
      </c>
      <c r="F13" s="4">
        <f t="shared" si="1"/>
        <v>0</v>
      </c>
    </row>
    <row r="14" spans="1:6" x14ac:dyDescent="0.2">
      <c r="A14" t="str" cm="1">
        <f t="array" ref="A14">IFERROR(INDEX('input player'!B:B, ROW()), "")</f>
        <v>SSEE</v>
      </c>
      <c r="B14" t="str" cm="1">
        <f t="array" ref="B14">IFERROR(INDEX('input player'!A:A, ROW()), "")</f>
        <v>SSEE</v>
      </c>
      <c r="C14" s="4">
        <v>0</v>
      </c>
      <c r="D14" s="8">
        <v>0</v>
      </c>
      <c r="E14" s="6">
        <f t="shared" si="0"/>
        <v>0</v>
      </c>
      <c r="F14" s="4">
        <f t="shared" si="1"/>
        <v>0</v>
      </c>
    </row>
    <row r="15" spans="1:6" x14ac:dyDescent="0.2">
      <c r="A15" t="str" cm="1">
        <f t="array" ref="A15">IFERROR(INDEX('input player'!B:B, ROW()), "")</f>
        <v>RR</v>
      </c>
      <c r="B15" t="str" cm="1">
        <f t="array" ref="B15">IFERROR(INDEX('input player'!A:A, ROW()), "")</f>
        <v>rr</v>
      </c>
      <c r="C15" s="4">
        <v>0</v>
      </c>
      <c r="D15" s="8">
        <v>0</v>
      </c>
      <c r="E15" s="6">
        <f t="shared" si="0"/>
        <v>0</v>
      </c>
      <c r="F15" s="4">
        <f t="shared" si="1"/>
        <v>0</v>
      </c>
    </row>
    <row r="16" spans="1:6" x14ac:dyDescent="0.2">
      <c r="A16" t="str" cm="1">
        <f t="array" ref="A16">IFERROR(INDEX('input player'!B:B, ROW()), "")</f>
        <v>www</v>
      </c>
      <c r="B16" t="str" cm="1">
        <f t="array" ref="B16">IFERROR(INDEX('input player'!A:A, ROW()), "")</f>
        <v>wwww</v>
      </c>
      <c r="C16" s="4">
        <v>0</v>
      </c>
      <c r="D16" s="8">
        <v>0</v>
      </c>
      <c r="E16" s="6">
        <f t="shared" si="0"/>
        <v>0</v>
      </c>
      <c r="F16" s="4">
        <f t="shared" si="1"/>
        <v>0</v>
      </c>
    </row>
    <row r="17" spans="1:6" x14ac:dyDescent="0.2">
      <c r="A17" t="str" cm="1">
        <f t="array" ref="A17">IFERROR(INDEX('input player'!B:B, ROW()), "")</f>
        <v>ASFA</v>
      </c>
      <c r="B17" t="str" cm="1">
        <f t="array" ref="B17">IFERROR(INDEX('input player'!A:A, ROW()), "")</f>
        <v>asfasadsd</v>
      </c>
      <c r="C17" s="4">
        <v>0</v>
      </c>
      <c r="D17" s="8">
        <v>0</v>
      </c>
      <c r="E17" s="6">
        <f t="shared" si="0"/>
        <v>0</v>
      </c>
      <c r="F17" s="4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4C6B-5483-4377-BF46-B53986E5E1FF}">
  <sheetPr>
    <tabColor theme="6" tint="-0.249977111117893"/>
  </sheetPr>
  <dimension ref="A1:F17"/>
  <sheetViews>
    <sheetView workbookViewId="0">
      <selection activeCell="I23" sqref="I23"/>
    </sheetView>
  </sheetViews>
  <sheetFormatPr defaultRowHeight="14.25" x14ac:dyDescent="0.2"/>
  <sheetData>
    <row r="1" spans="1:6" ht="28.5" x14ac:dyDescent="0.2">
      <c r="A1" s="2" t="s">
        <v>73</v>
      </c>
      <c r="B1" s="2" t="s">
        <v>74</v>
      </c>
      <c r="C1" s="3" t="s">
        <v>80</v>
      </c>
      <c r="D1" s="7" t="s">
        <v>81</v>
      </c>
      <c r="E1" s="5" t="s">
        <v>82</v>
      </c>
      <c r="F1" s="3" t="s">
        <v>83</v>
      </c>
    </row>
    <row r="2" spans="1:6" x14ac:dyDescent="0.2">
      <c r="A2" t="str" cm="1">
        <f t="array" ref="A2">IFERROR(INDEX('input player'!B:B, ROW()), "")</f>
        <v>AWD</v>
      </c>
      <c r="B2" t="str" cm="1">
        <f t="array" ref="B2">IFERROR(INDEX('input player'!A:A, ROW()), "")</f>
        <v>Award</v>
      </c>
      <c r="C2" s="4">
        <v>0</v>
      </c>
      <c r="D2" s="8">
        <v>0</v>
      </c>
      <c r="E2" s="6">
        <f>IF(C2=0,0,
IF(C2=1,10,
IF(C2=2,6,
IF(C2=3,5,
IF(C2=4,4,
IF(C2=5,3,
IF(C2=6,2,
IF(OR(C2=7,C2=8),1,0))))))))</f>
        <v>0</v>
      </c>
      <c r="F2" s="4">
        <f xml:space="preserve"> D2 + E2</f>
        <v>0</v>
      </c>
    </row>
    <row r="3" spans="1:6" x14ac:dyDescent="0.2">
      <c r="A3" t="str" cm="1">
        <f t="array" ref="A3">IFERROR(INDEX('input player'!B:B, ROW()), "")</f>
        <v>BOS</v>
      </c>
      <c r="B3" t="str" cm="1">
        <f t="array" ref="B3">IFERROR(INDEX('input player'!A:A, ROW()), "")</f>
        <v>BOSS</v>
      </c>
      <c r="C3" s="4">
        <v>0</v>
      </c>
      <c r="D3" s="8">
        <v>0</v>
      </c>
      <c r="E3" s="6">
        <f t="shared" ref="E3:E17" si="0">IF(C3=0,0,
IF(C3=1,10,
IF(C3=2,6,
IF(C3=3,5,
IF(C3=4,4,
IF(C3=5,3,
IF(C3=6,2,
IF(OR(C3=7,C3=8),1,0))))))))</f>
        <v>0</v>
      </c>
      <c r="F3" s="4">
        <f t="shared" ref="F3:F17" si="1" xml:space="preserve"> D3 + E3</f>
        <v>0</v>
      </c>
    </row>
    <row r="4" spans="1:6" x14ac:dyDescent="0.2">
      <c r="A4" t="str" cm="1">
        <f t="array" ref="A4">IFERROR(INDEX('input player'!B:B, ROW()), "")</f>
        <v>NVD</v>
      </c>
      <c r="B4" t="str" cm="1">
        <f t="array" ref="B4">IFERROR(INDEX('input player'!A:A, ROW()), "")</f>
        <v>NerverDIe</v>
      </c>
      <c r="C4" s="4">
        <v>0</v>
      </c>
      <c r="D4" s="8">
        <v>0</v>
      </c>
      <c r="E4" s="6">
        <f t="shared" si="0"/>
        <v>0</v>
      </c>
      <c r="F4" s="4">
        <f t="shared" si="1"/>
        <v>0</v>
      </c>
    </row>
    <row r="5" spans="1:6" x14ac:dyDescent="0.2">
      <c r="A5" t="str" cm="1">
        <f t="array" ref="A5">IFERROR(INDEX('input player'!B:B, ROW()), "")</f>
        <v>SBD</v>
      </c>
      <c r="B5" t="str" cm="1">
        <f t="array" ref="B5">IFERROR(INDEX('input player'!A:A, ROW()), "")</f>
        <v>Skibidy</v>
      </c>
      <c r="C5" s="4">
        <v>0</v>
      </c>
      <c r="D5" s="8">
        <v>0</v>
      </c>
      <c r="E5" s="6">
        <f t="shared" si="0"/>
        <v>0</v>
      </c>
      <c r="F5" s="4">
        <f t="shared" si="1"/>
        <v>0</v>
      </c>
    </row>
    <row r="6" spans="1:6" x14ac:dyDescent="0.2">
      <c r="A6" t="str" cm="1">
        <f t="array" ref="A6">IFERROR(INDEX('input player'!B:B, ROW()), "")</f>
        <v>RD</v>
      </c>
      <c r="B6" t="str" cm="1">
        <f t="array" ref="B6">IFERROR(INDEX('input player'!A:A, ROW()), "")</f>
        <v>Raddom</v>
      </c>
      <c r="C6" s="4">
        <v>0</v>
      </c>
      <c r="D6" s="8">
        <v>0</v>
      </c>
      <c r="E6" s="6">
        <f t="shared" si="0"/>
        <v>0</v>
      </c>
      <c r="F6" s="4">
        <f t="shared" si="1"/>
        <v>0</v>
      </c>
    </row>
    <row r="7" spans="1:6" x14ac:dyDescent="0.2">
      <c r="A7" t="str" cm="1">
        <f t="array" ref="A7">IFERROR(INDEX('input player'!B:B, ROW()), "")</f>
        <v>SSRS</v>
      </c>
      <c r="B7" t="str" cm="1">
        <f t="array" ref="B7">IFERROR(INDEX('input player'!A:A, ROW()), "")</f>
        <v>SaSaRaSa</v>
      </c>
      <c r="C7" s="4">
        <v>0</v>
      </c>
      <c r="D7" s="8">
        <v>0</v>
      </c>
      <c r="E7" s="6">
        <f t="shared" si="0"/>
        <v>0</v>
      </c>
      <c r="F7" s="4">
        <f t="shared" si="1"/>
        <v>0</v>
      </c>
    </row>
    <row r="8" spans="1:6" x14ac:dyDescent="0.2">
      <c r="A8" t="str" cm="1">
        <f t="array" ref="A8">IFERROR(INDEX('input player'!B:B, ROW()), "")</f>
        <v>OP</v>
      </c>
      <c r="B8" t="str" cm="1">
        <f t="array" ref="B8">IFERROR(INDEX('input player'!A:A, ROW()), "")</f>
        <v>Onpara</v>
      </c>
      <c r="C8" s="4">
        <v>0</v>
      </c>
      <c r="D8" s="8">
        <v>0</v>
      </c>
      <c r="E8" s="6">
        <f t="shared" si="0"/>
        <v>0</v>
      </c>
      <c r="F8" s="4">
        <f t="shared" si="1"/>
        <v>0</v>
      </c>
    </row>
    <row r="9" spans="1:6" x14ac:dyDescent="0.2">
      <c r="A9" t="str" cm="1">
        <f t="array" ref="A9">IFERROR(INDEX('input player'!B:B, ROW()), "")</f>
        <v>NX</v>
      </c>
      <c r="B9" t="str" cm="1">
        <f t="array" ref="B9">IFERROR(INDEX('input player'!A:A, ROW()), "")</f>
        <v>NoXe</v>
      </c>
      <c r="C9" s="4">
        <v>0</v>
      </c>
      <c r="D9" s="8">
        <v>0</v>
      </c>
      <c r="E9" s="6">
        <f t="shared" si="0"/>
        <v>0</v>
      </c>
      <c r="F9" s="4">
        <f t="shared" si="1"/>
        <v>0</v>
      </c>
    </row>
    <row r="10" spans="1:6" x14ac:dyDescent="0.2">
      <c r="A10" t="str" cm="1">
        <f t="array" ref="A10">IFERROR(INDEX('input player'!B:B, ROW()), "")</f>
        <v>SBZ</v>
      </c>
      <c r="B10" t="str" cm="1">
        <f t="array" ref="B10">IFERROR(INDEX('input player'!A:A, ROW()), "")</f>
        <v>SEEBRAZ</v>
      </c>
      <c r="C10" s="4">
        <v>0</v>
      </c>
      <c r="D10" s="8">
        <v>0</v>
      </c>
      <c r="E10" s="6">
        <f t="shared" si="0"/>
        <v>0</v>
      </c>
      <c r="F10" s="4">
        <f t="shared" si="1"/>
        <v>0</v>
      </c>
    </row>
    <row r="11" spans="1:6" x14ac:dyDescent="0.2">
      <c r="A11" t="str" cm="1">
        <f t="array" ref="A11">IFERROR(INDEX('input player'!B:B, ROW()), "")</f>
        <v>FF</v>
      </c>
      <c r="B11" t="str" cm="1">
        <f t="array" ref="B11">IFERROR(INDEX('input player'!A:A, ROW()), "")</f>
        <v>ff</v>
      </c>
      <c r="C11" s="4">
        <v>0</v>
      </c>
      <c r="D11" s="8">
        <v>0</v>
      </c>
      <c r="E11" s="6">
        <f t="shared" si="0"/>
        <v>0</v>
      </c>
      <c r="F11" s="4">
        <f t="shared" si="1"/>
        <v>0</v>
      </c>
    </row>
    <row r="12" spans="1:6" x14ac:dyDescent="0.2">
      <c r="A12" t="str" cm="1">
        <f t="array" ref="A12">IFERROR(INDEX('input player'!B:B, ROW()), "")</f>
        <v>SDF</v>
      </c>
      <c r="B12" t="str" cm="1">
        <f t="array" ref="B12">IFERROR(INDEX('input player'!A:A, ROW()), "")</f>
        <v>sdfsdf</v>
      </c>
      <c r="C12" s="4">
        <v>0</v>
      </c>
      <c r="D12" s="8">
        <v>0</v>
      </c>
      <c r="E12" s="6">
        <f t="shared" si="0"/>
        <v>0</v>
      </c>
      <c r="F12" s="4">
        <f t="shared" si="1"/>
        <v>0</v>
      </c>
    </row>
    <row r="13" spans="1:6" x14ac:dyDescent="0.2">
      <c r="A13" t="str" cm="1">
        <f t="array" ref="A13">IFERROR(INDEX('input player'!B:B, ROW()), "")</f>
        <v>HHH</v>
      </c>
      <c r="B13" t="str" cm="1">
        <f t="array" ref="B13">IFERROR(INDEX('input player'!A:A, ROW()), "")</f>
        <v>HHHH</v>
      </c>
      <c r="C13" s="4">
        <v>0</v>
      </c>
      <c r="D13" s="8">
        <v>0</v>
      </c>
      <c r="E13" s="6">
        <f t="shared" si="0"/>
        <v>0</v>
      </c>
      <c r="F13" s="4">
        <f t="shared" si="1"/>
        <v>0</v>
      </c>
    </row>
    <row r="14" spans="1:6" x14ac:dyDescent="0.2">
      <c r="A14" t="str" cm="1">
        <f t="array" ref="A14">IFERROR(INDEX('input player'!B:B, ROW()), "")</f>
        <v>SSEE</v>
      </c>
      <c r="B14" t="str" cm="1">
        <f t="array" ref="B14">IFERROR(INDEX('input player'!A:A, ROW()), "")</f>
        <v>SSEE</v>
      </c>
      <c r="C14" s="4">
        <v>0</v>
      </c>
      <c r="D14" s="8">
        <v>0</v>
      </c>
      <c r="E14" s="6">
        <f t="shared" si="0"/>
        <v>0</v>
      </c>
      <c r="F14" s="4">
        <f t="shared" si="1"/>
        <v>0</v>
      </c>
    </row>
    <row r="15" spans="1:6" x14ac:dyDescent="0.2">
      <c r="A15" t="str" cm="1">
        <f t="array" ref="A15">IFERROR(INDEX('input player'!B:B, ROW()), "")</f>
        <v>RR</v>
      </c>
      <c r="B15" t="str" cm="1">
        <f t="array" ref="B15">IFERROR(INDEX('input player'!A:A, ROW()), "")</f>
        <v>rr</v>
      </c>
      <c r="C15" s="4">
        <v>0</v>
      </c>
      <c r="D15" s="8">
        <v>0</v>
      </c>
      <c r="E15" s="6">
        <f t="shared" si="0"/>
        <v>0</v>
      </c>
      <c r="F15" s="4">
        <f t="shared" si="1"/>
        <v>0</v>
      </c>
    </row>
    <row r="16" spans="1:6" x14ac:dyDescent="0.2">
      <c r="A16" t="str" cm="1">
        <f t="array" ref="A16">IFERROR(INDEX('input player'!B:B, ROW()), "")</f>
        <v>www</v>
      </c>
      <c r="B16" t="str" cm="1">
        <f t="array" ref="B16">IFERROR(INDEX('input player'!A:A, ROW()), "")</f>
        <v>wwww</v>
      </c>
      <c r="C16" s="4">
        <v>0</v>
      </c>
      <c r="D16" s="8">
        <v>0</v>
      </c>
      <c r="E16" s="6">
        <f t="shared" si="0"/>
        <v>0</v>
      </c>
      <c r="F16" s="4">
        <f t="shared" si="1"/>
        <v>0</v>
      </c>
    </row>
    <row r="17" spans="1:6" x14ac:dyDescent="0.2">
      <c r="A17" t="str" cm="1">
        <f t="array" ref="A17">IFERROR(INDEX('input player'!B:B, ROW()), "")</f>
        <v>ASFA</v>
      </c>
      <c r="B17" t="str" cm="1">
        <f t="array" ref="B17">IFERROR(INDEX('input player'!A:A, ROW()), "")</f>
        <v>asfasadsd</v>
      </c>
      <c r="C17" s="4">
        <v>0</v>
      </c>
      <c r="D17" s="8">
        <v>0</v>
      </c>
      <c r="E17" s="6">
        <f t="shared" si="0"/>
        <v>0</v>
      </c>
      <c r="F17" s="4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BE93E-E7D3-4819-B3C2-ACC214BAC85F}">
  <sheetPr>
    <tabColor rgb="FF00B050"/>
  </sheetPr>
  <dimension ref="A1:F17"/>
  <sheetViews>
    <sheetView workbookViewId="0">
      <selection activeCell="E2" sqref="E2:E17"/>
    </sheetView>
  </sheetViews>
  <sheetFormatPr defaultRowHeight="14.25" x14ac:dyDescent="0.2"/>
  <sheetData>
    <row r="1" spans="1:6" ht="28.5" x14ac:dyDescent="0.2">
      <c r="A1" s="2" t="s">
        <v>73</v>
      </c>
      <c r="B1" s="2" t="s">
        <v>74</v>
      </c>
      <c r="C1" s="3" t="s">
        <v>80</v>
      </c>
      <c r="D1" s="7" t="s">
        <v>81</v>
      </c>
      <c r="E1" s="5" t="s">
        <v>82</v>
      </c>
      <c r="F1" s="3" t="s">
        <v>83</v>
      </c>
    </row>
    <row r="2" spans="1:6" x14ac:dyDescent="0.2">
      <c r="A2" t="str" cm="1">
        <f t="array" ref="A2">IFERROR(INDEX('input player'!B:B, ROW()), "")</f>
        <v>AWD</v>
      </c>
      <c r="B2" t="str" cm="1">
        <f t="array" ref="B2">IFERROR(INDEX('input player'!A:A, ROW()), "")</f>
        <v>Award</v>
      </c>
      <c r="C2" s="4">
        <v>0</v>
      </c>
      <c r="D2" s="8">
        <v>0</v>
      </c>
      <c r="E2" s="6">
        <f>IF(C2=0,0,
IF(C2=1,10,
IF(C2=2,6,
IF(C2=3,5,
IF(C2=4,4,
IF(C2=5,3,
IF(C2=6,2,
IF(OR(C2=7,C2=8),1,0))))))))</f>
        <v>0</v>
      </c>
      <c r="F2" s="4">
        <f xml:space="preserve"> D2 + E2</f>
        <v>0</v>
      </c>
    </row>
    <row r="3" spans="1:6" x14ac:dyDescent="0.2">
      <c r="A3" t="str" cm="1">
        <f t="array" ref="A3">IFERROR(INDEX('input player'!B:B, ROW()), "")</f>
        <v>BOS</v>
      </c>
      <c r="B3" t="str" cm="1">
        <f t="array" ref="B3">IFERROR(INDEX('input player'!A:A, ROW()), "")</f>
        <v>BOSS</v>
      </c>
      <c r="C3" s="4">
        <v>0</v>
      </c>
      <c r="D3" s="8">
        <v>0</v>
      </c>
      <c r="E3" s="6">
        <f t="shared" ref="E3:E17" si="0">IF(C3=0,0,
IF(C3=1,10,
IF(C3=2,6,
IF(C3=3,5,
IF(C3=4,4,
IF(C3=5,3,
IF(C3=6,2,
IF(OR(C3=7,C3=8),1,0))))))))</f>
        <v>0</v>
      </c>
      <c r="F3" s="4">
        <f t="shared" ref="F3:F17" si="1" xml:space="preserve"> D3 + E3</f>
        <v>0</v>
      </c>
    </row>
    <row r="4" spans="1:6" x14ac:dyDescent="0.2">
      <c r="A4" t="str" cm="1">
        <f t="array" ref="A4">IFERROR(INDEX('input player'!B:B, ROW()), "")</f>
        <v>NVD</v>
      </c>
      <c r="B4" t="str" cm="1">
        <f t="array" ref="B4">IFERROR(INDEX('input player'!A:A, ROW()), "")</f>
        <v>NerverDIe</v>
      </c>
      <c r="C4" s="4">
        <v>0</v>
      </c>
      <c r="D4" s="8">
        <v>0</v>
      </c>
      <c r="E4" s="6">
        <f t="shared" si="0"/>
        <v>0</v>
      </c>
      <c r="F4" s="4">
        <f t="shared" si="1"/>
        <v>0</v>
      </c>
    </row>
    <row r="5" spans="1:6" x14ac:dyDescent="0.2">
      <c r="A5" t="str" cm="1">
        <f t="array" ref="A5">IFERROR(INDEX('input player'!B:B, ROW()), "")</f>
        <v>SBD</v>
      </c>
      <c r="B5" t="str" cm="1">
        <f t="array" ref="B5">IFERROR(INDEX('input player'!A:A, ROW()), "")</f>
        <v>Skibidy</v>
      </c>
      <c r="C5" s="4">
        <v>0</v>
      </c>
      <c r="D5" s="8">
        <v>0</v>
      </c>
      <c r="E5" s="6">
        <f t="shared" si="0"/>
        <v>0</v>
      </c>
      <c r="F5" s="4">
        <f t="shared" si="1"/>
        <v>0</v>
      </c>
    </row>
    <row r="6" spans="1:6" x14ac:dyDescent="0.2">
      <c r="A6" t="str" cm="1">
        <f t="array" ref="A6">IFERROR(INDEX('input player'!B:B, ROW()), "")</f>
        <v>RD</v>
      </c>
      <c r="B6" t="str" cm="1">
        <f t="array" ref="B6">IFERROR(INDEX('input player'!A:A, ROW()), "")</f>
        <v>Raddom</v>
      </c>
      <c r="C6" s="4">
        <v>0</v>
      </c>
      <c r="D6" s="8">
        <v>0</v>
      </c>
      <c r="E6" s="6">
        <f t="shared" si="0"/>
        <v>0</v>
      </c>
      <c r="F6" s="4">
        <f t="shared" si="1"/>
        <v>0</v>
      </c>
    </row>
    <row r="7" spans="1:6" x14ac:dyDescent="0.2">
      <c r="A7" t="str" cm="1">
        <f t="array" ref="A7">IFERROR(INDEX('input player'!B:B, ROW()), "")</f>
        <v>SSRS</v>
      </c>
      <c r="B7" t="str" cm="1">
        <f t="array" ref="B7">IFERROR(INDEX('input player'!A:A, ROW()), "")</f>
        <v>SaSaRaSa</v>
      </c>
      <c r="C7" s="4">
        <v>0</v>
      </c>
      <c r="D7" s="8">
        <v>0</v>
      </c>
      <c r="E7" s="6">
        <f t="shared" si="0"/>
        <v>0</v>
      </c>
      <c r="F7" s="4">
        <f t="shared" si="1"/>
        <v>0</v>
      </c>
    </row>
    <row r="8" spans="1:6" x14ac:dyDescent="0.2">
      <c r="A8" t="str" cm="1">
        <f t="array" ref="A8">IFERROR(INDEX('input player'!B:B, ROW()), "")</f>
        <v>OP</v>
      </c>
      <c r="B8" t="str" cm="1">
        <f t="array" ref="B8">IFERROR(INDEX('input player'!A:A, ROW()), "")</f>
        <v>Onpara</v>
      </c>
      <c r="C8" s="4">
        <v>0</v>
      </c>
      <c r="D8" s="8">
        <v>0</v>
      </c>
      <c r="E8" s="6">
        <f t="shared" si="0"/>
        <v>0</v>
      </c>
      <c r="F8" s="4">
        <f t="shared" si="1"/>
        <v>0</v>
      </c>
    </row>
    <row r="9" spans="1:6" x14ac:dyDescent="0.2">
      <c r="A9" t="str" cm="1">
        <f t="array" ref="A9">IFERROR(INDEX('input player'!B:B, ROW()), "")</f>
        <v>NX</v>
      </c>
      <c r="B9" t="str" cm="1">
        <f t="array" ref="B9">IFERROR(INDEX('input player'!A:A, ROW()), "")</f>
        <v>NoXe</v>
      </c>
      <c r="C9" s="4">
        <v>0</v>
      </c>
      <c r="D9" s="8">
        <v>0</v>
      </c>
      <c r="E9" s="6">
        <f t="shared" si="0"/>
        <v>0</v>
      </c>
      <c r="F9" s="4">
        <f t="shared" si="1"/>
        <v>0</v>
      </c>
    </row>
    <row r="10" spans="1:6" x14ac:dyDescent="0.2">
      <c r="A10" t="str" cm="1">
        <f t="array" ref="A10">IFERROR(INDEX('input player'!B:B, ROW()), "")</f>
        <v>SBZ</v>
      </c>
      <c r="B10" t="str" cm="1">
        <f t="array" ref="B10">IFERROR(INDEX('input player'!A:A, ROW()), "")</f>
        <v>SEEBRAZ</v>
      </c>
      <c r="C10" s="4">
        <v>0</v>
      </c>
      <c r="D10" s="8">
        <v>0</v>
      </c>
      <c r="E10" s="6">
        <f t="shared" si="0"/>
        <v>0</v>
      </c>
      <c r="F10" s="4">
        <f t="shared" si="1"/>
        <v>0</v>
      </c>
    </row>
    <row r="11" spans="1:6" x14ac:dyDescent="0.2">
      <c r="A11" t="str" cm="1">
        <f t="array" ref="A11">IFERROR(INDEX('input player'!B:B, ROW()), "")</f>
        <v>FF</v>
      </c>
      <c r="B11" t="str" cm="1">
        <f t="array" ref="B11">IFERROR(INDEX('input player'!A:A, ROW()), "")</f>
        <v>ff</v>
      </c>
      <c r="C11" s="4">
        <v>0</v>
      </c>
      <c r="D11" s="8">
        <v>0</v>
      </c>
      <c r="E11" s="6">
        <f t="shared" si="0"/>
        <v>0</v>
      </c>
      <c r="F11" s="4">
        <f t="shared" si="1"/>
        <v>0</v>
      </c>
    </row>
    <row r="12" spans="1:6" x14ac:dyDescent="0.2">
      <c r="A12" t="str" cm="1">
        <f t="array" ref="A12">IFERROR(INDEX('input player'!B:B, ROW()), "")</f>
        <v>SDF</v>
      </c>
      <c r="B12" t="str" cm="1">
        <f t="array" ref="B12">IFERROR(INDEX('input player'!A:A, ROW()), "")</f>
        <v>sdfsdf</v>
      </c>
      <c r="C12" s="4">
        <v>0</v>
      </c>
      <c r="D12" s="8">
        <v>0</v>
      </c>
      <c r="E12" s="6">
        <f t="shared" si="0"/>
        <v>0</v>
      </c>
      <c r="F12" s="4">
        <f t="shared" si="1"/>
        <v>0</v>
      </c>
    </row>
    <row r="13" spans="1:6" x14ac:dyDescent="0.2">
      <c r="A13" t="str" cm="1">
        <f t="array" ref="A13">IFERROR(INDEX('input player'!B:B, ROW()), "")</f>
        <v>HHH</v>
      </c>
      <c r="B13" t="str" cm="1">
        <f t="array" ref="B13">IFERROR(INDEX('input player'!A:A, ROW()), "")</f>
        <v>HHHH</v>
      </c>
      <c r="C13" s="4">
        <v>0</v>
      </c>
      <c r="D13" s="8">
        <v>0</v>
      </c>
      <c r="E13" s="6">
        <f t="shared" si="0"/>
        <v>0</v>
      </c>
      <c r="F13" s="4">
        <f t="shared" si="1"/>
        <v>0</v>
      </c>
    </row>
    <row r="14" spans="1:6" x14ac:dyDescent="0.2">
      <c r="A14" t="str" cm="1">
        <f t="array" ref="A14">IFERROR(INDEX('input player'!B:B, ROW()), "")</f>
        <v>SSEE</v>
      </c>
      <c r="B14" t="str" cm="1">
        <f t="array" ref="B14">IFERROR(INDEX('input player'!A:A, ROW()), "")</f>
        <v>SSEE</v>
      </c>
      <c r="C14" s="4">
        <v>0</v>
      </c>
      <c r="D14" s="8">
        <v>0</v>
      </c>
      <c r="E14" s="6">
        <f t="shared" si="0"/>
        <v>0</v>
      </c>
      <c r="F14" s="4">
        <f t="shared" si="1"/>
        <v>0</v>
      </c>
    </row>
    <row r="15" spans="1:6" x14ac:dyDescent="0.2">
      <c r="A15" t="str" cm="1">
        <f t="array" ref="A15">IFERROR(INDEX('input player'!B:B, ROW()), "")</f>
        <v>RR</v>
      </c>
      <c r="B15" t="str" cm="1">
        <f t="array" ref="B15">IFERROR(INDEX('input player'!A:A, ROW()), "")</f>
        <v>rr</v>
      </c>
      <c r="C15" s="4">
        <v>0</v>
      </c>
      <c r="D15" s="8">
        <v>0</v>
      </c>
      <c r="E15" s="6">
        <f t="shared" si="0"/>
        <v>0</v>
      </c>
      <c r="F15" s="4">
        <f t="shared" si="1"/>
        <v>0</v>
      </c>
    </row>
    <row r="16" spans="1:6" x14ac:dyDescent="0.2">
      <c r="A16" t="str" cm="1">
        <f t="array" ref="A16">IFERROR(INDEX('input player'!B:B, ROW()), "")</f>
        <v>www</v>
      </c>
      <c r="B16" t="str" cm="1">
        <f t="array" ref="B16">IFERROR(INDEX('input player'!A:A, ROW()), "")</f>
        <v>wwww</v>
      </c>
      <c r="C16" s="4">
        <v>0</v>
      </c>
      <c r="D16" s="8">
        <v>0</v>
      </c>
      <c r="E16" s="6">
        <f t="shared" si="0"/>
        <v>0</v>
      </c>
      <c r="F16" s="4">
        <f t="shared" si="1"/>
        <v>0</v>
      </c>
    </row>
    <row r="17" spans="1:6" x14ac:dyDescent="0.2">
      <c r="A17" t="str" cm="1">
        <f t="array" ref="A17">IFERROR(INDEX('input player'!B:B, ROW()), "")</f>
        <v>ASFA</v>
      </c>
      <c r="B17" t="str" cm="1">
        <f t="array" ref="B17">IFERROR(INDEX('input player'!A:A, ROW()), "")</f>
        <v>asfasadsd</v>
      </c>
      <c r="C17" s="4">
        <v>0</v>
      </c>
      <c r="D17" s="8">
        <v>0</v>
      </c>
      <c r="E17" s="6">
        <f t="shared" si="0"/>
        <v>0</v>
      </c>
      <c r="F17" s="4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C4832-D1E4-4712-A950-E1F9E7AAC1AB}">
  <sheetPr>
    <tabColor rgb="FF00B050"/>
  </sheetPr>
  <dimension ref="A1:F17"/>
  <sheetViews>
    <sheetView workbookViewId="0">
      <selection activeCell="E2" sqref="E2:E17"/>
    </sheetView>
  </sheetViews>
  <sheetFormatPr defaultRowHeight="14.25" x14ac:dyDescent="0.2"/>
  <sheetData>
    <row r="1" spans="1:6" ht="28.5" x14ac:dyDescent="0.2">
      <c r="A1" s="2" t="s">
        <v>73</v>
      </c>
      <c r="B1" s="2" t="s">
        <v>74</v>
      </c>
      <c r="C1" s="3" t="s">
        <v>80</v>
      </c>
      <c r="D1" s="7" t="s">
        <v>81</v>
      </c>
      <c r="E1" s="5" t="s">
        <v>82</v>
      </c>
      <c r="F1" s="3" t="s">
        <v>83</v>
      </c>
    </row>
    <row r="2" spans="1:6" x14ac:dyDescent="0.2">
      <c r="A2" t="str" cm="1">
        <f t="array" ref="A2">IFERROR(INDEX('input player'!B:B, ROW()), "")</f>
        <v>AWD</v>
      </c>
      <c r="B2" t="str" cm="1">
        <f t="array" ref="B2">IFERROR(INDEX('input player'!A:A, ROW()), "")</f>
        <v>Award</v>
      </c>
      <c r="C2" s="4">
        <v>0</v>
      </c>
      <c r="D2" s="8">
        <v>0</v>
      </c>
      <c r="E2" s="6">
        <f>IF(C2=0,0,
IF(C2=1,10,
IF(C2=2,6,
IF(C2=3,5,
IF(C2=4,4,
IF(C2=5,3,
IF(C2=6,2,
IF(OR(C2=7,C2=8),1,0))))))))</f>
        <v>0</v>
      </c>
      <c r="F2" s="4">
        <f xml:space="preserve"> D2 + E2</f>
        <v>0</v>
      </c>
    </row>
    <row r="3" spans="1:6" x14ac:dyDescent="0.2">
      <c r="A3" t="str" cm="1">
        <f t="array" ref="A3">IFERROR(INDEX('input player'!B:B, ROW()), "")</f>
        <v>BOS</v>
      </c>
      <c r="B3" t="str" cm="1">
        <f t="array" ref="B3">IFERROR(INDEX('input player'!A:A, ROW()), "")</f>
        <v>BOSS</v>
      </c>
      <c r="C3" s="4">
        <v>0</v>
      </c>
      <c r="D3" s="8">
        <v>0</v>
      </c>
      <c r="E3" s="6">
        <f t="shared" ref="E3:E17" si="0">IF(C3=0,0,
IF(C3=1,10,
IF(C3=2,6,
IF(C3=3,5,
IF(C3=4,4,
IF(C3=5,3,
IF(C3=6,2,
IF(OR(C3=7,C3=8),1,0))))))))</f>
        <v>0</v>
      </c>
      <c r="F3" s="4">
        <f t="shared" ref="F3:F17" si="1" xml:space="preserve"> D3 + E3</f>
        <v>0</v>
      </c>
    </row>
    <row r="4" spans="1:6" x14ac:dyDescent="0.2">
      <c r="A4" t="str" cm="1">
        <f t="array" ref="A4">IFERROR(INDEX('input player'!B:B, ROW()), "")</f>
        <v>NVD</v>
      </c>
      <c r="B4" t="str" cm="1">
        <f t="array" ref="B4">IFERROR(INDEX('input player'!A:A, ROW()), "")</f>
        <v>NerverDIe</v>
      </c>
      <c r="C4" s="4">
        <v>0</v>
      </c>
      <c r="D4" s="8">
        <v>0</v>
      </c>
      <c r="E4" s="6">
        <f t="shared" si="0"/>
        <v>0</v>
      </c>
      <c r="F4" s="4">
        <f t="shared" si="1"/>
        <v>0</v>
      </c>
    </row>
    <row r="5" spans="1:6" x14ac:dyDescent="0.2">
      <c r="A5" t="str" cm="1">
        <f t="array" ref="A5">IFERROR(INDEX('input player'!B:B, ROW()), "")</f>
        <v>SBD</v>
      </c>
      <c r="B5" t="str" cm="1">
        <f t="array" ref="B5">IFERROR(INDEX('input player'!A:A, ROW()), "")</f>
        <v>Skibidy</v>
      </c>
      <c r="C5" s="4">
        <v>0</v>
      </c>
      <c r="D5" s="8">
        <v>0</v>
      </c>
      <c r="E5" s="6">
        <f t="shared" si="0"/>
        <v>0</v>
      </c>
      <c r="F5" s="4">
        <f t="shared" si="1"/>
        <v>0</v>
      </c>
    </row>
    <row r="6" spans="1:6" x14ac:dyDescent="0.2">
      <c r="A6" t="str" cm="1">
        <f t="array" ref="A6">IFERROR(INDEX('input player'!B:B, ROW()), "")</f>
        <v>RD</v>
      </c>
      <c r="B6" t="str" cm="1">
        <f t="array" ref="B6">IFERROR(INDEX('input player'!A:A, ROW()), "")</f>
        <v>Raddom</v>
      </c>
      <c r="C6" s="4">
        <v>0</v>
      </c>
      <c r="D6" s="8">
        <v>0</v>
      </c>
      <c r="E6" s="6">
        <f t="shared" si="0"/>
        <v>0</v>
      </c>
      <c r="F6" s="4">
        <f t="shared" si="1"/>
        <v>0</v>
      </c>
    </row>
    <row r="7" spans="1:6" x14ac:dyDescent="0.2">
      <c r="A7" t="str" cm="1">
        <f t="array" ref="A7">IFERROR(INDEX('input player'!B:B, ROW()), "")</f>
        <v>SSRS</v>
      </c>
      <c r="B7" t="str" cm="1">
        <f t="array" ref="B7">IFERROR(INDEX('input player'!A:A, ROW()), "")</f>
        <v>SaSaRaSa</v>
      </c>
      <c r="C7" s="4">
        <v>0</v>
      </c>
      <c r="D7" s="8">
        <v>0</v>
      </c>
      <c r="E7" s="6">
        <f t="shared" si="0"/>
        <v>0</v>
      </c>
      <c r="F7" s="4">
        <f t="shared" si="1"/>
        <v>0</v>
      </c>
    </row>
    <row r="8" spans="1:6" x14ac:dyDescent="0.2">
      <c r="A8" t="str" cm="1">
        <f t="array" ref="A8">IFERROR(INDEX('input player'!B:B, ROW()), "")</f>
        <v>OP</v>
      </c>
      <c r="B8" t="str" cm="1">
        <f t="array" ref="B8">IFERROR(INDEX('input player'!A:A, ROW()), "")</f>
        <v>Onpara</v>
      </c>
      <c r="C8" s="4">
        <v>0</v>
      </c>
      <c r="D8" s="8">
        <v>0</v>
      </c>
      <c r="E8" s="6">
        <f t="shared" si="0"/>
        <v>0</v>
      </c>
      <c r="F8" s="4">
        <f t="shared" si="1"/>
        <v>0</v>
      </c>
    </row>
    <row r="9" spans="1:6" x14ac:dyDescent="0.2">
      <c r="A9" t="str" cm="1">
        <f t="array" ref="A9">IFERROR(INDEX('input player'!B:B, ROW()), "")</f>
        <v>NX</v>
      </c>
      <c r="B9" t="str" cm="1">
        <f t="array" ref="B9">IFERROR(INDEX('input player'!A:A, ROW()), "")</f>
        <v>NoXe</v>
      </c>
      <c r="C9" s="4">
        <v>0</v>
      </c>
      <c r="D9" s="8">
        <v>0</v>
      </c>
      <c r="E9" s="6">
        <f t="shared" si="0"/>
        <v>0</v>
      </c>
      <c r="F9" s="4">
        <f t="shared" si="1"/>
        <v>0</v>
      </c>
    </row>
    <row r="10" spans="1:6" x14ac:dyDescent="0.2">
      <c r="A10" t="str" cm="1">
        <f t="array" ref="A10">IFERROR(INDEX('input player'!B:B, ROW()), "")</f>
        <v>SBZ</v>
      </c>
      <c r="B10" t="str" cm="1">
        <f t="array" ref="B10">IFERROR(INDEX('input player'!A:A, ROW()), "")</f>
        <v>SEEBRAZ</v>
      </c>
      <c r="C10" s="4">
        <v>0</v>
      </c>
      <c r="D10" s="8">
        <v>0</v>
      </c>
      <c r="E10" s="6">
        <f t="shared" si="0"/>
        <v>0</v>
      </c>
      <c r="F10" s="4">
        <f t="shared" si="1"/>
        <v>0</v>
      </c>
    </row>
    <row r="11" spans="1:6" x14ac:dyDescent="0.2">
      <c r="A11" t="str" cm="1">
        <f t="array" ref="A11">IFERROR(INDEX('input player'!B:B, ROW()), "")</f>
        <v>FF</v>
      </c>
      <c r="B11" t="str" cm="1">
        <f t="array" ref="B11">IFERROR(INDEX('input player'!A:A, ROW()), "")</f>
        <v>ff</v>
      </c>
      <c r="C11" s="4">
        <v>0</v>
      </c>
      <c r="D11" s="8">
        <v>0</v>
      </c>
      <c r="E11" s="6">
        <f t="shared" si="0"/>
        <v>0</v>
      </c>
      <c r="F11" s="4">
        <f t="shared" si="1"/>
        <v>0</v>
      </c>
    </row>
    <row r="12" spans="1:6" x14ac:dyDescent="0.2">
      <c r="A12" t="str" cm="1">
        <f t="array" ref="A12">IFERROR(INDEX('input player'!B:B, ROW()), "")</f>
        <v>SDF</v>
      </c>
      <c r="B12" t="str" cm="1">
        <f t="array" ref="B12">IFERROR(INDEX('input player'!A:A, ROW()), "")</f>
        <v>sdfsdf</v>
      </c>
      <c r="C12" s="4">
        <v>0</v>
      </c>
      <c r="D12" s="8">
        <v>0</v>
      </c>
      <c r="E12" s="6">
        <f t="shared" si="0"/>
        <v>0</v>
      </c>
      <c r="F12" s="4">
        <f t="shared" si="1"/>
        <v>0</v>
      </c>
    </row>
    <row r="13" spans="1:6" x14ac:dyDescent="0.2">
      <c r="A13" t="str" cm="1">
        <f t="array" ref="A13">IFERROR(INDEX('input player'!B:B, ROW()), "")</f>
        <v>HHH</v>
      </c>
      <c r="B13" t="str" cm="1">
        <f t="array" ref="B13">IFERROR(INDEX('input player'!A:A, ROW()), "")</f>
        <v>HHHH</v>
      </c>
      <c r="C13" s="4">
        <v>0</v>
      </c>
      <c r="D13" s="8">
        <v>0</v>
      </c>
      <c r="E13" s="6">
        <f t="shared" si="0"/>
        <v>0</v>
      </c>
      <c r="F13" s="4">
        <f t="shared" si="1"/>
        <v>0</v>
      </c>
    </row>
    <row r="14" spans="1:6" x14ac:dyDescent="0.2">
      <c r="A14" t="str" cm="1">
        <f t="array" ref="A14">IFERROR(INDEX('input player'!B:B, ROW()), "")</f>
        <v>SSEE</v>
      </c>
      <c r="B14" t="str" cm="1">
        <f t="array" ref="B14">IFERROR(INDEX('input player'!A:A, ROW()), "")</f>
        <v>SSEE</v>
      </c>
      <c r="C14" s="4">
        <v>0</v>
      </c>
      <c r="D14" s="8">
        <v>0</v>
      </c>
      <c r="E14" s="6">
        <f t="shared" si="0"/>
        <v>0</v>
      </c>
      <c r="F14" s="4">
        <f t="shared" si="1"/>
        <v>0</v>
      </c>
    </row>
    <row r="15" spans="1:6" x14ac:dyDescent="0.2">
      <c r="A15" t="str" cm="1">
        <f t="array" ref="A15">IFERROR(INDEX('input player'!B:B, ROW()), "")</f>
        <v>RR</v>
      </c>
      <c r="B15" t="str" cm="1">
        <f t="array" ref="B15">IFERROR(INDEX('input player'!A:A, ROW()), "")</f>
        <v>rr</v>
      </c>
      <c r="C15" s="4">
        <v>0</v>
      </c>
      <c r="D15" s="8">
        <v>0</v>
      </c>
      <c r="E15" s="6">
        <f t="shared" si="0"/>
        <v>0</v>
      </c>
      <c r="F15" s="4">
        <f t="shared" si="1"/>
        <v>0</v>
      </c>
    </row>
    <row r="16" spans="1:6" x14ac:dyDescent="0.2">
      <c r="A16" t="str" cm="1">
        <f t="array" ref="A16">IFERROR(INDEX('input player'!B:B, ROW()), "")</f>
        <v>www</v>
      </c>
      <c r="B16" t="str" cm="1">
        <f t="array" ref="B16">IFERROR(INDEX('input player'!A:A, ROW()), "")</f>
        <v>wwww</v>
      </c>
      <c r="C16" s="4">
        <v>0</v>
      </c>
      <c r="D16" s="8">
        <v>0</v>
      </c>
      <c r="E16" s="6">
        <f t="shared" si="0"/>
        <v>0</v>
      </c>
      <c r="F16" s="4">
        <f t="shared" si="1"/>
        <v>0</v>
      </c>
    </row>
    <row r="17" spans="1:6" x14ac:dyDescent="0.2">
      <c r="A17" t="str" cm="1">
        <f t="array" ref="A17">IFERROR(INDEX('input player'!B:B, ROW()), "")</f>
        <v>ASFA</v>
      </c>
      <c r="B17" t="str" cm="1">
        <f t="array" ref="B17">IFERROR(INDEX('input player'!A:A, ROW()), "")</f>
        <v>asfasadsd</v>
      </c>
      <c r="C17" s="4">
        <v>0</v>
      </c>
      <c r="D17" s="8">
        <v>0</v>
      </c>
      <c r="E17" s="6">
        <f t="shared" si="0"/>
        <v>0</v>
      </c>
      <c r="F17" s="4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6EF1-7942-42F2-9C4B-DDC8FE96E8A8}">
  <sheetPr>
    <tabColor rgb="FF00B050"/>
  </sheetPr>
  <dimension ref="A1:F17"/>
  <sheetViews>
    <sheetView workbookViewId="0">
      <selection activeCell="F2" sqref="F2"/>
    </sheetView>
  </sheetViews>
  <sheetFormatPr defaultRowHeight="14.25" x14ac:dyDescent="0.2"/>
  <sheetData>
    <row r="1" spans="1:6" ht="28.5" x14ac:dyDescent="0.2">
      <c r="A1" s="2" t="s">
        <v>73</v>
      </c>
      <c r="B1" s="2" t="s">
        <v>74</v>
      </c>
      <c r="C1" s="3" t="s">
        <v>80</v>
      </c>
      <c r="D1" s="7" t="s">
        <v>81</v>
      </c>
      <c r="E1" s="5" t="s">
        <v>82</v>
      </c>
      <c r="F1" s="3" t="s">
        <v>83</v>
      </c>
    </row>
    <row r="2" spans="1:6" x14ac:dyDescent="0.2">
      <c r="A2" t="str" cm="1">
        <f t="array" ref="A2">IFERROR(INDEX('input player'!B:B, ROW()), "")</f>
        <v>AWD</v>
      </c>
      <c r="B2" t="str" cm="1">
        <f t="array" ref="B2">IFERROR(INDEX('input player'!A:A, ROW()), "")</f>
        <v>Award</v>
      </c>
      <c r="C2" s="4">
        <v>0</v>
      </c>
      <c r="D2" s="8">
        <v>0</v>
      </c>
      <c r="E2" s="6">
        <f>IF(C2=0,0,
IF(C2=1,10,
IF(C2=2,6,
IF(C2=3,5,
IF(C2=4,4,
IF(C2=5,3,
IF(C2=6,2,
IF(OR(C2=7,C2=8),1,0))))))))</f>
        <v>0</v>
      </c>
      <c r="F2" s="4">
        <f xml:space="preserve"> D2 + E2</f>
        <v>0</v>
      </c>
    </row>
    <row r="3" spans="1:6" x14ac:dyDescent="0.2">
      <c r="A3" t="str" cm="1">
        <f t="array" ref="A3">IFERROR(INDEX('input player'!B:B, ROW()), "")</f>
        <v>BOS</v>
      </c>
      <c r="B3" t="str" cm="1">
        <f t="array" ref="B3">IFERROR(INDEX('input player'!A:A, ROW()), "")</f>
        <v>BOSS</v>
      </c>
      <c r="C3" s="4">
        <v>0</v>
      </c>
      <c r="D3" s="8">
        <v>0</v>
      </c>
      <c r="E3" s="6">
        <f t="shared" ref="E3:E17" si="0">IF(C3=0,0,
IF(C3=1,10,
IF(C3=2,6,
IF(C3=3,5,
IF(C3=4,4,
IF(C3=5,3,
IF(C3=6,2,
IF(OR(C3=7,C3=8),1,0))))))))</f>
        <v>0</v>
      </c>
      <c r="F3" s="4">
        <f t="shared" ref="F3:F17" si="1" xml:space="preserve"> D3 + E3</f>
        <v>0</v>
      </c>
    </row>
    <row r="4" spans="1:6" x14ac:dyDescent="0.2">
      <c r="A4" t="str" cm="1">
        <f t="array" ref="A4">IFERROR(INDEX('input player'!B:B, ROW()), "")</f>
        <v>NVD</v>
      </c>
      <c r="B4" t="str" cm="1">
        <f t="array" ref="B4">IFERROR(INDEX('input player'!A:A, ROW()), "")</f>
        <v>NerverDIe</v>
      </c>
      <c r="C4" s="4">
        <v>0</v>
      </c>
      <c r="D4" s="8">
        <v>0</v>
      </c>
      <c r="E4" s="6">
        <f t="shared" si="0"/>
        <v>0</v>
      </c>
      <c r="F4" s="4">
        <f t="shared" si="1"/>
        <v>0</v>
      </c>
    </row>
    <row r="5" spans="1:6" x14ac:dyDescent="0.2">
      <c r="A5" t="str" cm="1">
        <f t="array" ref="A5">IFERROR(INDEX('input player'!B:B, ROW()), "")</f>
        <v>SBD</v>
      </c>
      <c r="B5" t="str" cm="1">
        <f t="array" ref="B5">IFERROR(INDEX('input player'!A:A, ROW()), "")</f>
        <v>Skibidy</v>
      </c>
      <c r="C5" s="4">
        <v>0</v>
      </c>
      <c r="D5" s="8">
        <v>0</v>
      </c>
      <c r="E5" s="6">
        <f t="shared" si="0"/>
        <v>0</v>
      </c>
      <c r="F5" s="4">
        <f t="shared" si="1"/>
        <v>0</v>
      </c>
    </row>
    <row r="6" spans="1:6" x14ac:dyDescent="0.2">
      <c r="A6" t="str" cm="1">
        <f t="array" ref="A6">IFERROR(INDEX('input player'!B:B, ROW()), "")</f>
        <v>RD</v>
      </c>
      <c r="B6" t="str" cm="1">
        <f t="array" ref="B6">IFERROR(INDEX('input player'!A:A, ROW()), "")</f>
        <v>Raddom</v>
      </c>
      <c r="C6" s="4">
        <v>0</v>
      </c>
      <c r="D6" s="8">
        <v>0</v>
      </c>
      <c r="E6" s="6">
        <f t="shared" si="0"/>
        <v>0</v>
      </c>
      <c r="F6" s="4">
        <f t="shared" si="1"/>
        <v>0</v>
      </c>
    </row>
    <row r="7" spans="1:6" x14ac:dyDescent="0.2">
      <c r="A7" t="str" cm="1">
        <f t="array" ref="A7">IFERROR(INDEX('input player'!B:B, ROW()), "")</f>
        <v>SSRS</v>
      </c>
      <c r="B7" t="str" cm="1">
        <f t="array" ref="B7">IFERROR(INDEX('input player'!A:A, ROW()), "")</f>
        <v>SaSaRaSa</v>
      </c>
      <c r="C7" s="4">
        <v>0</v>
      </c>
      <c r="D7" s="8">
        <v>0</v>
      </c>
      <c r="E7" s="6">
        <f t="shared" si="0"/>
        <v>0</v>
      </c>
      <c r="F7" s="4">
        <f t="shared" si="1"/>
        <v>0</v>
      </c>
    </row>
    <row r="8" spans="1:6" x14ac:dyDescent="0.2">
      <c r="A8" t="str" cm="1">
        <f t="array" ref="A8">IFERROR(INDEX('input player'!B:B, ROW()), "")</f>
        <v>OP</v>
      </c>
      <c r="B8" t="str" cm="1">
        <f t="array" ref="B8">IFERROR(INDEX('input player'!A:A, ROW()), "")</f>
        <v>Onpara</v>
      </c>
      <c r="C8" s="4">
        <v>0</v>
      </c>
      <c r="D8" s="8">
        <v>0</v>
      </c>
      <c r="E8" s="6">
        <f t="shared" si="0"/>
        <v>0</v>
      </c>
      <c r="F8" s="4">
        <f t="shared" si="1"/>
        <v>0</v>
      </c>
    </row>
    <row r="9" spans="1:6" x14ac:dyDescent="0.2">
      <c r="A9" t="str" cm="1">
        <f t="array" ref="A9">IFERROR(INDEX('input player'!B:B, ROW()), "")</f>
        <v>NX</v>
      </c>
      <c r="B9" t="str" cm="1">
        <f t="array" ref="B9">IFERROR(INDEX('input player'!A:A, ROW()), "")</f>
        <v>NoXe</v>
      </c>
      <c r="C9" s="4">
        <v>0</v>
      </c>
      <c r="D9" s="8">
        <v>0</v>
      </c>
      <c r="E9" s="6">
        <f t="shared" si="0"/>
        <v>0</v>
      </c>
      <c r="F9" s="4">
        <f t="shared" si="1"/>
        <v>0</v>
      </c>
    </row>
    <row r="10" spans="1:6" x14ac:dyDescent="0.2">
      <c r="A10" t="str" cm="1">
        <f t="array" ref="A10">IFERROR(INDEX('input player'!B:B, ROW()), "")</f>
        <v>SBZ</v>
      </c>
      <c r="B10" t="str" cm="1">
        <f t="array" ref="B10">IFERROR(INDEX('input player'!A:A, ROW()), "")</f>
        <v>SEEBRAZ</v>
      </c>
      <c r="C10" s="4">
        <v>0</v>
      </c>
      <c r="D10" s="8">
        <v>0</v>
      </c>
      <c r="E10" s="6">
        <f t="shared" si="0"/>
        <v>0</v>
      </c>
      <c r="F10" s="4">
        <f t="shared" si="1"/>
        <v>0</v>
      </c>
    </row>
    <row r="11" spans="1:6" x14ac:dyDescent="0.2">
      <c r="A11" t="str" cm="1">
        <f t="array" ref="A11">IFERROR(INDEX('input player'!B:B, ROW()), "")</f>
        <v>FF</v>
      </c>
      <c r="B11" t="str" cm="1">
        <f t="array" ref="B11">IFERROR(INDEX('input player'!A:A, ROW()), "")</f>
        <v>ff</v>
      </c>
      <c r="C11" s="4">
        <v>0</v>
      </c>
      <c r="D11" s="8">
        <v>0</v>
      </c>
      <c r="E11" s="6">
        <f t="shared" si="0"/>
        <v>0</v>
      </c>
      <c r="F11" s="4">
        <f t="shared" si="1"/>
        <v>0</v>
      </c>
    </row>
    <row r="12" spans="1:6" x14ac:dyDescent="0.2">
      <c r="A12" t="str" cm="1">
        <f t="array" ref="A12">IFERROR(INDEX('input player'!B:B, ROW()), "")</f>
        <v>SDF</v>
      </c>
      <c r="B12" t="str" cm="1">
        <f t="array" ref="B12">IFERROR(INDEX('input player'!A:A, ROW()), "")</f>
        <v>sdfsdf</v>
      </c>
      <c r="C12" s="4">
        <v>0</v>
      </c>
      <c r="D12" s="8">
        <v>0</v>
      </c>
      <c r="E12" s="6">
        <f t="shared" si="0"/>
        <v>0</v>
      </c>
      <c r="F12" s="4">
        <f t="shared" si="1"/>
        <v>0</v>
      </c>
    </row>
    <row r="13" spans="1:6" x14ac:dyDescent="0.2">
      <c r="A13" t="str" cm="1">
        <f t="array" ref="A13">IFERROR(INDEX('input player'!B:B, ROW()), "")</f>
        <v>HHH</v>
      </c>
      <c r="B13" t="str" cm="1">
        <f t="array" ref="B13">IFERROR(INDEX('input player'!A:A, ROW()), "")</f>
        <v>HHHH</v>
      </c>
      <c r="C13" s="4">
        <v>0</v>
      </c>
      <c r="D13" s="8">
        <v>0</v>
      </c>
      <c r="E13" s="6">
        <f t="shared" si="0"/>
        <v>0</v>
      </c>
      <c r="F13" s="4">
        <f t="shared" si="1"/>
        <v>0</v>
      </c>
    </row>
    <row r="14" spans="1:6" x14ac:dyDescent="0.2">
      <c r="A14" t="str" cm="1">
        <f t="array" ref="A14">IFERROR(INDEX('input player'!B:B, ROW()), "")</f>
        <v>SSEE</v>
      </c>
      <c r="B14" t="str" cm="1">
        <f t="array" ref="B14">IFERROR(INDEX('input player'!A:A, ROW()), "")</f>
        <v>SSEE</v>
      </c>
      <c r="C14" s="4">
        <v>0</v>
      </c>
      <c r="D14" s="8">
        <v>0</v>
      </c>
      <c r="E14" s="6">
        <f t="shared" si="0"/>
        <v>0</v>
      </c>
      <c r="F14" s="4">
        <f t="shared" si="1"/>
        <v>0</v>
      </c>
    </row>
    <row r="15" spans="1:6" x14ac:dyDescent="0.2">
      <c r="A15" t="str" cm="1">
        <f t="array" ref="A15">IFERROR(INDEX('input player'!B:B, ROW()), "")</f>
        <v>RR</v>
      </c>
      <c r="B15" t="str" cm="1">
        <f t="array" ref="B15">IFERROR(INDEX('input player'!A:A, ROW()), "")</f>
        <v>rr</v>
      </c>
      <c r="C15" s="4">
        <v>0</v>
      </c>
      <c r="D15" s="8">
        <v>0</v>
      </c>
      <c r="E15" s="6">
        <f t="shared" si="0"/>
        <v>0</v>
      </c>
      <c r="F15" s="4">
        <f t="shared" si="1"/>
        <v>0</v>
      </c>
    </row>
    <row r="16" spans="1:6" x14ac:dyDescent="0.2">
      <c r="A16" t="str" cm="1">
        <f t="array" ref="A16">IFERROR(INDEX('input player'!B:B, ROW()), "")</f>
        <v>www</v>
      </c>
      <c r="B16" t="str" cm="1">
        <f t="array" ref="B16">IFERROR(INDEX('input player'!A:A, ROW()), "")</f>
        <v>wwww</v>
      </c>
      <c r="C16" s="4">
        <v>0</v>
      </c>
      <c r="D16" s="8">
        <v>0</v>
      </c>
      <c r="E16" s="6">
        <f t="shared" si="0"/>
        <v>0</v>
      </c>
      <c r="F16" s="4">
        <f t="shared" si="1"/>
        <v>0</v>
      </c>
    </row>
    <row r="17" spans="1:6" x14ac:dyDescent="0.2">
      <c r="A17" t="str" cm="1">
        <f t="array" ref="A17">IFERROR(INDEX('input player'!B:B, ROW()), "")</f>
        <v>ASFA</v>
      </c>
      <c r="B17" t="str" cm="1">
        <f t="array" ref="B17">IFERROR(INDEX('input player'!A:A, ROW()), "")</f>
        <v>asfasadsd</v>
      </c>
      <c r="C17" s="4">
        <v>0</v>
      </c>
      <c r="D17" s="8">
        <v>0</v>
      </c>
      <c r="E17" s="6">
        <f t="shared" si="0"/>
        <v>0</v>
      </c>
      <c r="F17" s="4">
        <f t="shared" si="1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27</vt:i4>
      </vt:variant>
    </vt:vector>
  </HeadingPairs>
  <TitlesOfParts>
    <vt:vector size="27" baseType="lpstr">
      <vt:lpstr>input player</vt:lpstr>
      <vt:lpstr>map settings</vt:lpstr>
      <vt:lpstr>TEAMLIST</vt:lpstr>
      <vt:lpstr>DAY OVERLAY</vt:lpstr>
      <vt:lpstr>DAY SUMMARY W1D1</vt:lpstr>
      <vt:lpstr>DAY SUMMARY W1D2</vt:lpstr>
      <vt:lpstr>DAY SUMMARY W2D1</vt:lpstr>
      <vt:lpstr>DAY SUMMARY W2D2</vt:lpstr>
      <vt:lpstr>DAY SUMMARY FINAL</vt:lpstr>
      <vt:lpstr>WEEK SUMMARY W1</vt:lpstr>
      <vt:lpstr>WEEK SUMMARY W2</vt:lpstr>
      <vt:lpstr>OVERALL SUMMARY</vt:lpstr>
      <vt:lpstr>W1D1M1</vt:lpstr>
      <vt:lpstr>W1D1M2</vt:lpstr>
      <vt:lpstr>W1D1M3</vt:lpstr>
      <vt:lpstr>W1D2M1</vt:lpstr>
      <vt:lpstr>W1D2M2</vt:lpstr>
      <vt:lpstr>W1D2M3</vt:lpstr>
      <vt:lpstr>W2D1M1</vt:lpstr>
      <vt:lpstr>W2D1M2</vt:lpstr>
      <vt:lpstr>W2D1M3</vt:lpstr>
      <vt:lpstr>W2D2M1</vt:lpstr>
      <vt:lpstr>W2D2M2</vt:lpstr>
      <vt:lpstr>W2D2M3</vt:lpstr>
      <vt:lpstr>FinalM1</vt:lpstr>
      <vt:lpstr>FinalM2</vt:lpstr>
      <vt:lpstr>FinalM3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pannawath mapaya</dc:creator>
  <cp:lastModifiedBy>pannawath mapaya</cp:lastModifiedBy>
  <dcterms:created xsi:type="dcterms:W3CDTF">2025-12-04T16:07:24Z</dcterms:created>
  <dcterms:modified xsi:type="dcterms:W3CDTF">2026-02-08T17:48:40Z</dcterms:modified>
</cp:coreProperties>
</file>